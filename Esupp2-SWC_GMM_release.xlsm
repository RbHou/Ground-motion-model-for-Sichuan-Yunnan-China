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ransfer1\SWSMData\HisData_Hou_sele\Manuscript\BEE_revision\"/>
    </mc:Choice>
  </mc:AlternateContent>
  <xr:revisionPtr revIDLastSave="0" documentId="13_ncr:1_{B389AB8A-AC37-453C-8D01-0888121A79B5}" xr6:coauthVersionLast="47" xr6:coauthVersionMax="47" xr10:uidLastSave="{00000000-0000-0000-0000-000000000000}"/>
  <bookViews>
    <workbookView xWindow="2235" yWindow="1193" windowWidth="17513" windowHeight="11662" tabRatio="936" activeTab="1" xr2:uid="{00000000-000D-0000-FFFF-FFFF00000000}"/>
  </bookViews>
  <sheets>
    <sheet name="Readme" sheetId="47" r:id="rId1"/>
    <sheet name="SWC Model" sheetId="46" r:id="rId2"/>
    <sheet name="SWC Model Att" sheetId="23" r:id="rId3"/>
    <sheet name="ParamTable_SWC" sheetId="4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23" l="1"/>
  <c r="B45" i="46"/>
  <c r="G45" i="46"/>
  <c r="K45" i="46"/>
  <c r="O45" i="46"/>
  <c r="S45" i="46"/>
  <c r="D45" i="46"/>
  <c r="E45" i="46"/>
  <c r="F45" i="46" l="1"/>
  <c r="M45" i="46" a="1"/>
  <c r="I45" i="46" a="1"/>
  <c r="U45" i="46" a="1"/>
  <c r="Q45" i="46" a="1"/>
  <c r="Q45" i="46" l="1"/>
  <c r="R45" i="46" s="1"/>
  <c r="U45" i="46"/>
  <c r="V45" i="46" s="1"/>
  <c r="I45" i="46"/>
  <c r="J45" i="46" s="1"/>
  <c r="M45" i="46"/>
  <c r="N45" i="46" s="1"/>
  <c r="T45" i="46"/>
  <c r="H45" i="46"/>
  <c r="L45" i="46"/>
  <c r="P45" i="46"/>
  <c r="E7" i="23" l="1"/>
  <c r="D7" i="23"/>
  <c r="C7" i="23"/>
  <c r="B7" i="23"/>
  <c r="H5" i="23"/>
  <c r="G5" i="23"/>
  <c r="F5" i="23"/>
  <c r="E5" i="23"/>
  <c r="D5" i="23"/>
  <c r="C5" i="23"/>
  <c r="B5" i="23"/>
  <c r="H3" i="23"/>
  <c r="G3" i="23"/>
  <c r="F3" i="23"/>
  <c r="E3" i="23"/>
  <c r="D3" i="23"/>
  <c r="C3" i="23"/>
  <c r="B3" i="23"/>
  <c r="S44" i="46"/>
  <c r="O44" i="46"/>
  <c r="K44" i="46"/>
  <c r="G44" i="46"/>
  <c r="B44" i="46"/>
  <c r="S43" i="46"/>
  <c r="O43" i="46"/>
  <c r="K43" i="46"/>
  <c r="G43" i="46"/>
  <c r="B43" i="46"/>
  <c r="S42" i="46"/>
  <c r="O42" i="46"/>
  <c r="K42" i="46"/>
  <c r="G42" i="46"/>
  <c r="B42" i="46"/>
  <c r="S41" i="46"/>
  <c r="O41" i="46"/>
  <c r="K41" i="46"/>
  <c r="G41" i="46"/>
  <c r="B41" i="46"/>
  <c r="S40" i="46"/>
  <c r="O40" i="46"/>
  <c r="K40" i="46"/>
  <c r="G40" i="46"/>
  <c r="B40" i="46"/>
  <c r="S39" i="46"/>
  <c r="O39" i="46"/>
  <c r="K39" i="46"/>
  <c r="G39" i="46"/>
  <c r="B39" i="46"/>
  <c r="S38" i="46"/>
  <c r="O38" i="46"/>
  <c r="K38" i="46"/>
  <c r="G38" i="46"/>
  <c r="B38" i="46"/>
  <c r="S37" i="46"/>
  <c r="O37" i="46"/>
  <c r="K37" i="46"/>
  <c r="G37" i="46"/>
  <c r="B37" i="46"/>
  <c r="S36" i="46"/>
  <c r="O36" i="46"/>
  <c r="K36" i="46"/>
  <c r="G36" i="46"/>
  <c r="B36" i="46"/>
  <c r="S35" i="46"/>
  <c r="O35" i="46"/>
  <c r="K35" i="46"/>
  <c r="G35" i="46"/>
  <c r="B35" i="46"/>
  <c r="S34" i="46"/>
  <c r="O34" i="46"/>
  <c r="K34" i="46"/>
  <c r="G34" i="46"/>
  <c r="B34" i="46"/>
  <c r="S33" i="46"/>
  <c r="O33" i="46"/>
  <c r="K33" i="46"/>
  <c r="G33" i="46"/>
  <c r="B33" i="46"/>
  <c r="S32" i="46"/>
  <c r="O32" i="46"/>
  <c r="K32" i="46"/>
  <c r="G32" i="46"/>
  <c r="B32" i="46"/>
  <c r="S31" i="46"/>
  <c r="O31" i="46"/>
  <c r="K31" i="46"/>
  <c r="G31" i="46"/>
  <c r="B31" i="46"/>
  <c r="S30" i="46"/>
  <c r="O30" i="46"/>
  <c r="K30" i="46"/>
  <c r="G30" i="46"/>
  <c r="B30" i="46"/>
  <c r="S29" i="46"/>
  <c r="O29" i="46"/>
  <c r="K29" i="46"/>
  <c r="G29" i="46"/>
  <c r="B29" i="46"/>
  <c r="S28" i="46"/>
  <c r="O28" i="46"/>
  <c r="K28" i="46"/>
  <c r="G28" i="46"/>
  <c r="B28" i="46"/>
  <c r="S27" i="46"/>
  <c r="O27" i="46"/>
  <c r="K27" i="46"/>
  <c r="G27" i="46"/>
  <c r="B27" i="46"/>
  <c r="S26" i="46"/>
  <c r="O26" i="46"/>
  <c r="K26" i="46"/>
  <c r="G26" i="46"/>
  <c r="B26" i="46"/>
  <c r="S25" i="46"/>
  <c r="O25" i="46"/>
  <c r="K25" i="46"/>
  <c r="G25" i="46"/>
  <c r="B25" i="46"/>
  <c r="S24" i="46"/>
  <c r="O24" i="46"/>
  <c r="K24" i="46"/>
  <c r="G24" i="46"/>
  <c r="B24" i="46"/>
  <c r="S23" i="46"/>
  <c r="O23" i="46"/>
  <c r="K23" i="46"/>
  <c r="G23" i="46"/>
  <c r="B23" i="46"/>
  <c r="S22" i="46"/>
  <c r="O22" i="46"/>
  <c r="K22" i="46"/>
  <c r="G22" i="46"/>
  <c r="B22" i="46"/>
  <c r="S21" i="46"/>
  <c r="O21" i="46"/>
  <c r="K21" i="46"/>
  <c r="G21" i="46"/>
  <c r="B21" i="46"/>
  <c r="S20" i="46"/>
  <c r="O20" i="46"/>
  <c r="K20" i="46"/>
  <c r="G20" i="46"/>
  <c r="B20" i="46"/>
  <c r="S19" i="46"/>
  <c r="O19" i="46"/>
  <c r="K19" i="46"/>
  <c r="G19" i="46"/>
  <c r="B19" i="46"/>
  <c r="S18" i="46"/>
  <c r="O18" i="46"/>
  <c r="K18" i="46"/>
  <c r="G18" i="46"/>
  <c r="B18" i="46"/>
  <c r="S17" i="46"/>
  <c r="O17" i="46"/>
  <c r="K17" i="46"/>
  <c r="G17" i="46"/>
  <c r="B17" i="46"/>
  <c r="S16" i="46"/>
  <c r="O16" i="46"/>
  <c r="K16" i="46"/>
  <c r="G16" i="46"/>
  <c r="B16" i="46"/>
  <c r="S15" i="46"/>
  <c r="O15" i="46"/>
  <c r="K15" i="46"/>
  <c r="G15" i="46"/>
  <c r="B15" i="46"/>
  <c r="S14" i="46"/>
  <c r="O14" i="46"/>
  <c r="K14" i="46"/>
  <c r="G14" i="46"/>
  <c r="B14" i="46"/>
  <c r="S13" i="46"/>
  <c r="O13" i="46"/>
  <c r="K13" i="46"/>
  <c r="G13" i="46"/>
  <c r="B13" i="46"/>
  <c r="S12" i="46"/>
  <c r="O12" i="46"/>
  <c r="K12" i="46"/>
  <c r="G12" i="46"/>
  <c r="B12" i="46"/>
  <c r="S11" i="46"/>
  <c r="O11" i="46"/>
  <c r="K11" i="46"/>
  <c r="G11" i="46"/>
  <c r="B11" i="46"/>
  <c r="S10" i="46"/>
  <c r="O10" i="46"/>
  <c r="K10" i="46"/>
  <c r="G10" i="46"/>
  <c r="B10" i="46"/>
  <c r="S9" i="46"/>
  <c r="O9" i="46"/>
  <c r="K9" i="46"/>
  <c r="G9" i="46"/>
  <c r="B9" i="46"/>
  <c r="S8" i="46"/>
  <c r="O8" i="46"/>
  <c r="K8" i="46"/>
  <c r="G8" i="46"/>
  <c r="B8" i="46"/>
  <c r="S7" i="46"/>
  <c r="O7" i="46"/>
  <c r="K7" i="46"/>
  <c r="G7" i="46"/>
  <c r="B7" i="46"/>
  <c r="S6" i="46"/>
  <c r="O6" i="46"/>
  <c r="K6" i="46"/>
  <c r="G6" i="46"/>
  <c r="B6" i="46"/>
  <c r="S5" i="46"/>
  <c r="O5" i="46"/>
  <c r="K5" i="46"/>
  <c r="G5" i="46"/>
  <c r="B5" i="46"/>
  <c r="S4" i="46"/>
  <c r="O4" i="46"/>
  <c r="K4" i="46"/>
  <c r="G4" i="46"/>
  <c r="B4" i="46"/>
  <c r="D13" i="46"/>
  <c r="D27" i="46"/>
  <c r="D14" i="46"/>
  <c r="D33" i="46"/>
  <c r="D22" i="46"/>
  <c r="D40" i="46"/>
  <c r="D32" i="46"/>
  <c r="D35" i="46"/>
  <c r="D16" i="46"/>
  <c r="D11" i="46"/>
  <c r="D28" i="46"/>
  <c r="D37" i="46"/>
  <c r="D24" i="46"/>
  <c r="D36" i="46"/>
  <c r="D8" i="46"/>
  <c r="D15" i="46"/>
  <c r="D4" i="46"/>
  <c r="D20" i="46"/>
  <c r="D26" i="46"/>
  <c r="D19" i="46"/>
  <c r="D23" i="46"/>
  <c r="D44" i="46"/>
  <c r="D17" i="46"/>
  <c r="D21" i="46"/>
  <c r="D5" i="46"/>
  <c r="D7" i="46"/>
  <c r="D25" i="46"/>
  <c r="D31" i="46"/>
  <c r="D41" i="46"/>
  <c r="D38" i="46"/>
  <c r="D42" i="46"/>
  <c r="D30" i="46"/>
  <c r="D10" i="46"/>
  <c r="D9" i="46"/>
  <c r="D29" i="46"/>
  <c r="D18" i="46"/>
  <c r="D34" i="46"/>
  <c r="D6" i="46"/>
  <c r="D12" i="46"/>
  <c r="D39" i="46"/>
  <c r="D43" i="46"/>
  <c r="G54" i="23" a="1"/>
  <c r="D21" i="23" a="1"/>
  <c r="F51" i="23" a="1"/>
  <c r="C43" i="23" a="1"/>
  <c r="C15" i="23" a="1"/>
  <c r="O13" i="23" a="1"/>
  <c r="O22" i="23" a="1"/>
  <c r="G21" i="23" a="1"/>
  <c r="D43" i="23" a="1"/>
  <c r="C30" i="23" a="1"/>
  <c r="F37" i="23" a="1"/>
  <c r="C21" i="23" a="1"/>
  <c r="F56" i="23" a="1"/>
  <c r="C19" i="23" a="1"/>
  <c r="E42" i="23" a="1"/>
  <c r="E21" i="23" a="1"/>
  <c r="E61" i="23" a="1"/>
  <c r="E39" i="23" a="1"/>
  <c r="D27" i="23" a="1"/>
  <c r="F28" i="23" a="1"/>
  <c r="D58" i="23" a="1"/>
  <c r="F61" i="23" a="1"/>
  <c r="F14" i="23" a="1"/>
  <c r="C42" i="23" a="1"/>
  <c r="G56" i="23" a="1"/>
  <c r="F55" i="23" a="1"/>
  <c r="F34" i="23" a="1"/>
  <c r="G40" i="23" a="1"/>
  <c r="O12" i="23" a="1"/>
  <c r="D41" i="23" a="1"/>
  <c r="D62" i="23" a="1"/>
  <c r="G25" i="23" a="1"/>
  <c r="F27" i="23" a="1"/>
  <c r="E27" i="23" a="1"/>
  <c r="E62" i="23" a="1"/>
  <c r="E37" i="23" a="1"/>
  <c r="C39" i="23" a="1"/>
  <c r="C62" i="23" a="1"/>
  <c r="D52" i="23" a="1"/>
  <c r="G37" i="23" a="1"/>
  <c r="G55" i="23" a="1"/>
  <c r="C40" i="23" a="1"/>
  <c r="G27" i="23" a="1"/>
  <c r="G18" i="23" a="1"/>
  <c r="D24" i="23" a="1"/>
  <c r="D12" i="23" a="1"/>
  <c r="G19" i="23" a="1"/>
  <c r="F40" i="23" a="1"/>
  <c r="O16" i="23" a="1"/>
  <c r="O25" i="23" a="1"/>
  <c r="G22" i="23" a="1"/>
  <c r="D54" i="23" a="1"/>
  <c r="E18" i="23" a="1"/>
  <c r="E11" i="23" a="1"/>
  <c r="E32" i="23" a="1"/>
  <c r="F33" i="23" a="1"/>
  <c r="E13" i="23" a="1"/>
  <c r="C35" i="23" a="1"/>
  <c r="G62" i="23" a="1"/>
  <c r="C23" i="23" a="1"/>
  <c r="F48" i="23" a="1"/>
  <c r="O26" i="23" a="1"/>
  <c r="D47" i="23" a="1"/>
  <c r="G50" i="23" a="1"/>
  <c r="G15" i="23" a="1"/>
  <c r="G52" i="23" a="1"/>
  <c r="C13" i="23" a="1"/>
  <c r="C48" i="23" a="1"/>
  <c r="C25" i="23" a="1"/>
  <c r="F39" i="23" a="1"/>
  <c r="D14" i="23" a="1"/>
  <c r="E36" i="23" a="1"/>
  <c r="E24" i="23" a="1"/>
  <c r="E52" i="23" a="1"/>
  <c r="O30" i="23" a="1"/>
  <c r="D42" i="23" a="1"/>
  <c r="E43" i="23" a="1"/>
  <c r="C59" i="23" a="1"/>
  <c r="G32" i="23" a="1"/>
  <c r="F32" i="23" a="1"/>
  <c r="O28" i="23" a="1"/>
  <c r="F49" i="23" a="1"/>
  <c r="C52" i="23" a="1"/>
  <c r="G20" i="23" a="1"/>
  <c r="G57" i="23" a="1"/>
  <c r="G59" i="23" a="1"/>
  <c r="C37" i="23" a="1"/>
  <c r="C45" i="23" a="1"/>
  <c r="D40" i="23" a="1"/>
  <c r="O21" i="23" a="1"/>
  <c r="O11" i="23" a="1"/>
  <c r="E22" i="23" a="1"/>
  <c r="E45" i="23" a="1"/>
  <c r="E14" i="23" a="1"/>
  <c r="G23" i="23" a="1"/>
  <c r="C44" i="23" a="1"/>
  <c r="D28" i="23" a="1"/>
  <c r="C24" i="23" a="1"/>
  <c r="F31" i="23" a="1"/>
  <c r="C50" i="23" a="1"/>
  <c r="G48" i="23" a="1"/>
  <c r="D60" i="23" a="1"/>
  <c r="G26" i="23" a="1"/>
  <c r="O15" i="23" a="1"/>
  <c r="C32" i="23" a="1"/>
  <c r="O20" i="23" a="1"/>
  <c r="D56" i="23" a="1"/>
  <c r="G53" i="23" a="1"/>
  <c r="F16" i="23" a="1"/>
  <c r="D49" i="23" a="1"/>
  <c r="E19" i="23" a="1"/>
  <c r="E31" i="23" a="1"/>
  <c r="E57" i="23" a="1"/>
  <c r="D48" i="23" a="1"/>
  <c r="D33" i="23" a="1"/>
  <c r="C53" i="23" a="1"/>
  <c r="D57" i="23" a="1"/>
  <c r="D29" i="23" a="1"/>
  <c r="G24" i="23" a="1"/>
  <c r="D11" i="23" a="1"/>
  <c r="C58" i="23" a="1"/>
  <c r="D15" i="23" a="1"/>
  <c r="C55" i="23" a="1"/>
  <c r="O19" i="23" a="1"/>
  <c r="F43" i="23" a="1"/>
  <c r="G61" i="23" a="1"/>
  <c r="C38" i="23" a="1"/>
  <c r="G43" i="23" a="1"/>
  <c r="G13" i="23" a="1"/>
  <c r="E47" i="23" a="1"/>
  <c r="E54" i="23" a="1"/>
  <c r="E20" i="23" a="1"/>
  <c r="D34" i="23" a="1"/>
  <c r="F38" i="23" a="1"/>
  <c r="F59" i="23" a="1"/>
  <c r="C11" i="23" a="1"/>
  <c r="D31" i="23" a="1"/>
  <c r="G12" i="23" a="1"/>
  <c r="D25" i="23" a="1"/>
  <c r="F13" i="23" a="1"/>
  <c r="D20" i="23" a="1"/>
  <c r="O14" i="23" a="1"/>
  <c r="D13" i="23" a="1"/>
  <c r="F47" i="23" a="1"/>
  <c r="G11" i="23" a="1"/>
  <c r="D50" i="23" a="1"/>
  <c r="F23" i="23" a="1"/>
  <c r="O31" i="23" a="1"/>
  <c r="D46" i="23" a="1"/>
  <c r="G45" i="23" a="1"/>
  <c r="E28" i="23" a="1"/>
  <c r="E17" i="23" a="1"/>
  <c r="E30" i="23" a="1"/>
  <c r="D45" i="23" a="1"/>
  <c r="C54" i="23" a="1"/>
  <c r="C31" i="23" a="1"/>
  <c r="E40" i="23" a="1"/>
  <c r="F24" i="23" a="1"/>
  <c r="C47" i="23" a="1"/>
  <c r="G16" i="23" a="1"/>
  <c r="D22" i="23" a="1"/>
  <c r="G30" i="23" a="1"/>
  <c r="C12" i="23" a="1"/>
  <c r="G38" i="23" a="1"/>
  <c r="G33" i="23" a="1"/>
  <c r="F21" i="23" a="1"/>
  <c r="F36" i="23" a="1"/>
  <c r="C18" i="23" a="1"/>
  <c r="O18" i="23" a="1"/>
  <c r="G47" i="23" a="1"/>
  <c r="G35" i="23" a="1"/>
  <c r="G41" i="23" a="1"/>
  <c r="E26" i="23" a="1"/>
  <c r="E55" i="23" a="1"/>
  <c r="E33" i="23" a="1"/>
  <c r="F20" i="23" a="1"/>
  <c r="D61" i="23" a="1"/>
  <c r="D36" i="23" a="1"/>
  <c r="F30" i="23" a="1"/>
  <c r="F52" i="23" a="1"/>
  <c r="F53" i="23" a="1"/>
  <c r="D32" i="23" a="1"/>
  <c r="C41" i="23" a="1"/>
  <c r="F41" i="23" a="1"/>
  <c r="O17" i="23" a="1"/>
  <c r="F45" i="23" a="1"/>
  <c r="G31" i="23" a="1"/>
  <c r="D37" i="23" a="1"/>
  <c r="C57" i="23" a="1"/>
  <c r="D35" i="23" a="1"/>
  <c r="C60" i="23" a="1"/>
  <c r="F26" i="23" a="1"/>
  <c r="D53" i="23" a="1"/>
  <c r="E46" i="23" a="1"/>
  <c r="E51" i="23" a="1"/>
  <c r="E48" i="23" a="1"/>
  <c r="C56" i="23" a="1"/>
  <c r="C51" i="23" a="1"/>
  <c r="E15" i="23" a="1"/>
  <c r="G51" i="23" a="1"/>
  <c r="D17" i="23" a="1"/>
  <c r="D30" i="23" a="1"/>
  <c r="C27" i="23" a="1"/>
  <c r="F50" i="23" a="1"/>
  <c r="F54" i="23" a="1"/>
  <c r="F15" i="23" a="1"/>
  <c r="G58" i="23" a="1"/>
  <c r="C28" i="23" a="1"/>
  <c r="G49" i="23" a="1"/>
  <c r="F19" i="23" a="1"/>
  <c r="D55" i="23" a="1"/>
  <c r="G44" i="23" a="1"/>
  <c r="G28" i="23" a="1"/>
  <c r="G39" i="23" a="1"/>
  <c r="E60" i="23" a="1"/>
  <c r="E58" i="23" a="1"/>
  <c r="E25" i="23" a="1"/>
  <c r="G34" i="23" a="1"/>
  <c r="F22" i="23" a="1"/>
  <c r="E34" i="23" a="1"/>
  <c r="F11" i="23" a="1"/>
  <c r="C49" i="23" a="1"/>
  <c r="F44" i="23" a="1"/>
  <c r="F58" i="23" a="1"/>
  <c r="F29" i="23" a="1"/>
  <c r="D23" i="23" a="1"/>
  <c r="G17" i="23" a="1"/>
  <c r="F25" i="23" a="1"/>
  <c r="C46" i="23" a="1"/>
  <c r="D18" i="23" a="1"/>
  <c r="C29" i="23" a="1"/>
  <c r="G29" i="23" a="1"/>
  <c r="D19" i="23" a="1"/>
  <c r="D38" i="23" a="1"/>
  <c r="E50" i="23" a="1"/>
  <c r="E35" i="23" a="1"/>
  <c r="E41" i="23" a="1"/>
  <c r="E49" i="23" a="1"/>
  <c r="O29" i="23" a="1"/>
  <c r="G42" i="23" a="1"/>
  <c r="F12" i="23" a="1"/>
  <c r="F17" i="23" a="1"/>
  <c r="D16" i="23" a="1"/>
  <c r="C26" i="23" a="1"/>
  <c r="F57" i="23" a="1"/>
  <c r="G36" i="23" a="1"/>
  <c r="C34" i="23" a="1"/>
  <c r="F60" i="23" a="1"/>
  <c r="D51" i="23" a="1"/>
  <c r="G46" i="23" a="1"/>
  <c r="C61" i="23" a="1"/>
  <c r="O24" i="23" a="1"/>
  <c r="D44" i="23" a="1"/>
  <c r="C17" i="23" a="1"/>
  <c r="E38" i="23" a="1"/>
  <c r="E29" i="23" a="1"/>
  <c r="E12" i="23" a="1"/>
  <c r="E59" i="23" a="1"/>
  <c r="C36" i="23" a="1"/>
  <c r="F18" i="23" a="1"/>
  <c r="O23" i="23" a="1"/>
  <c r="F35" i="23" a="1"/>
  <c r="D26" i="23" a="1"/>
  <c r="F62" i="23" a="1"/>
  <c r="C33" i="23" a="1"/>
  <c r="C20" i="23" a="1"/>
  <c r="C22" i="23" a="1"/>
  <c r="G14" i="23" a="1"/>
  <c r="G60" i="23" a="1"/>
  <c r="F46" i="23" a="1"/>
  <c r="O27" i="23" a="1"/>
  <c r="C16" i="23" a="1"/>
  <c r="D39" i="23" a="1"/>
  <c r="D59" i="23" a="1"/>
  <c r="E23" i="23" a="1"/>
  <c r="E53" i="23" a="1"/>
  <c r="E44" i="23" a="1"/>
  <c r="E56" i="23" a="1"/>
  <c r="C14" i="23" a="1"/>
  <c r="F42" i="23" a="1"/>
  <c r="E16" i="23" a="1"/>
  <c r="E18" i="46"/>
  <c r="E32" i="46"/>
  <c r="E6" i="46"/>
  <c r="E27" i="46"/>
  <c r="E25" i="46"/>
  <c r="E28" i="46"/>
  <c r="E40" i="46"/>
  <c r="E26" i="46"/>
  <c r="E12" i="46"/>
  <c r="E29" i="46"/>
  <c r="E44" i="46"/>
  <c r="E39" i="46"/>
  <c r="E33" i="46"/>
  <c r="E23" i="46"/>
  <c r="E13" i="46"/>
  <c r="E11" i="46"/>
  <c r="E31" i="46"/>
  <c r="E35" i="46"/>
  <c r="E17" i="46"/>
  <c r="E36" i="46"/>
  <c r="E34" i="46"/>
  <c r="E14" i="46"/>
  <c r="E20" i="46"/>
  <c r="E7" i="46"/>
  <c r="E21" i="46"/>
  <c r="E43" i="46"/>
  <c r="E16" i="46"/>
  <c r="E19" i="46"/>
  <c r="E5" i="46"/>
  <c r="E30" i="46"/>
  <c r="E8" i="46"/>
  <c r="E37" i="46"/>
  <c r="E38" i="46"/>
  <c r="E42" i="46"/>
  <c r="E22" i="46"/>
  <c r="E9" i="46"/>
  <c r="E41" i="46"/>
  <c r="E24" i="46"/>
  <c r="E4" i="46"/>
  <c r="E10" i="46"/>
  <c r="E15" i="46"/>
  <c r="C11" i="23" l="1"/>
  <c r="O11" i="23"/>
  <c r="F32" i="23"/>
  <c r="G39" i="23"/>
  <c r="D47" i="23"/>
  <c r="E61" i="23"/>
  <c r="C49" i="23"/>
  <c r="F50" i="23"/>
  <c r="C53" i="23"/>
  <c r="F20" i="23"/>
  <c r="G45" i="23"/>
  <c r="F36" i="23"/>
  <c r="C22" i="23"/>
  <c r="G44" i="23"/>
  <c r="D51" i="23"/>
  <c r="E32" i="23"/>
  <c r="F26" i="23"/>
  <c r="E46" i="23"/>
  <c r="G55" i="23"/>
  <c r="E51" i="23"/>
  <c r="F51" i="23"/>
  <c r="F39" i="23"/>
  <c r="O13" i="23"/>
  <c r="F25" i="23"/>
  <c r="D55" i="23"/>
  <c r="C13" i="23"/>
  <c r="F45" i="23"/>
  <c r="G32" i="23"/>
  <c r="G53" i="23"/>
  <c r="C61" i="23"/>
  <c r="G37" i="23"/>
  <c r="D50" i="23"/>
  <c r="F21" i="23"/>
  <c r="F47" i="23"/>
  <c r="F43" i="23"/>
  <c r="F17" i="23"/>
  <c r="C21" i="23"/>
  <c r="F29" i="23"/>
  <c r="D14" i="23"/>
  <c r="G58" i="23"/>
  <c r="G48" i="23"/>
  <c r="D56" i="23"/>
  <c r="O18" i="23"/>
  <c r="G16" i="23"/>
  <c r="C56" i="23"/>
  <c r="E34" i="23"/>
  <c r="O27" i="23"/>
  <c r="D27" i="23"/>
  <c r="O14" i="23"/>
  <c r="F18" i="23"/>
  <c r="G14" i="23"/>
  <c r="D26" i="23"/>
  <c r="G40" i="23"/>
  <c r="G20" i="23"/>
  <c r="G52" i="23"/>
  <c r="C18" i="23"/>
  <c r="G19" i="23"/>
  <c r="F62" i="23"/>
  <c r="G38" i="23"/>
  <c r="C54" i="23"/>
  <c r="O30" i="23"/>
  <c r="F28" i="23"/>
  <c r="F58" i="23"/>
  <c r="C47" i="23"/>
  <c r="F12" i="23"/>
  <c r="E28" i="23"/>
  <c r="C40" i="23"/>
  <c r="G41" i="23"/>
  <c r="D34" i="23"/>
  <c r="F41" i="23"/>
  <c r="F53" i="23"/>
  <c r="E43" i="23"/>
  <c r="C58" i="23"/>
  <c r="D44" i="23"/>
  <c r="E19" i="23"/>
  <c r="E47" i="23"/>
  <c r="D37" i="23"/>
  <c r="F61" i="23"/>
  <c r="O21" i="23"/>
  <c r="E49" i="23"/>
  <c r="E17" i="23"/>
  <c r="E57" i="23"/>
  <c r="G33" i="23"/>
  <c r="C30" i="23"/>
  <c r="D42" i="23"/>
  <c r="C15" i="23"/>
  <c r="G21" i="23"/>
  <c r="F35" i="23"/>
  <c r="D62" i="23"/>
  <c r="G49" i="23"/>
  <c r="G30" i="23"/>
  <c r="E39" i="23"/>
  <c r="F15" i="23"/>
  <c r="G60" i="23"/>
  <c r="G28" i="23"/>
  <c r="G29" i="23"/>
  <c r="D43" i="23"/>
  <c r="C19" i="23"/>
  <c r="F40" i="23"/>
  <c r="G27" i="23"/>
  <c r="E53" i="23"/>
  <c r="F37" i="23"/>
  <c r="G59" i="23"/>
  <c r="E58" i="23"/>
  <c r="F52" i="23"/>
  <c r="E13" i="23"/>
  <c r="D48" i="23"/>
  <c r="D11" i="23"/>
  <c r="C38" i="23"/>
  <c r="G17" i="23"/>
  <c r="D46" i="23"/>
  <c r="C42" i="23"/>
  <c r="E35" i="23"/>
  <c r="F24" i="23"/>
  <c r="D25" i="23"/>
  <c r="E33" i="23"/>
  <c r="G61" i="23"/>
  <c r="F38" i="23"/>
  <c r="D40" i="23"/>
  <c r="D58" i="23"/>
  <c r="C32" i="23"/>
  <c r="E55" i="23"/>
  <c r="E52" i="23"/>
  <c r="C62" i="23"/>
  <c r="D20" i="23"/>
  <c r="O19" i="23"/>
  <c r="F54" i="23"/>
  <c r="E50" i="23"/>
  <c r="C45" i="23"/>
  <c r="E54" i="23"/>
  <c r="C44" i="23"/>
  <c r="O15" i="23"/>
  <c r="G25" i="23"/>
  <c r="G12" i="23"/>
  <c r="C12" i="23"/>
  <c r="C27" i="23"/>
  <c r="C50" i="23"/>
  <c r="O12" i="23"/>
  <c r="D15" i="23"/>
  <c r="D12" i="23"/>
  <c r="E22" i="23"/>
  <c r="F22" i="23"/>
  <c r="O22" i="23"/>
  <c r="O24" i="23"/>
  <c r="D22" i="23"/>
  <c r="F13" i="23"/>
  <c r="G24" i="23"/>
  <c r="G23" i="23"/>
  <c r="D60" i="23"/>
  <c r="D31" i="23"/>
  <c r="F46" i="23"/>
  <c r="E31" i="23"/>
  <c r="O25" i="23"/>
  <c r="F42" i="23"/>
  <c r="D32" i="23"/>
  <c r="G56" i="23"/>
  <c r="C29" i="23"/>
  <c r="E38" i="23"/>
  <c r="D29" i="23"/>
  <c r="D61" i="23"/>
  <c r="F49" i="23"/>
  <c r="G34" i="23"/>
  <c r="D21" i="23"/>
  <c r="F55" i="23"/>
  <c r="F57" i="23"/>
  <c r="C51" i="23"/>
  <c r="C36" i="23"/>
  <c r="C46" i="23"/>
  <c r="G31" i="23"/>
  <c r="F11" i="23"/>
  <c r="D41" i="23"/>
  <c r="E16" i="23"/>
  <c r="E20" i="23"/>
  <c r="G11" i="23"/>
  <c r="E21" i="23"/>
  <c r="D57" i="23"/>
  <c r="C14" i="23"/>
  <c r="C28" i="23"/>
  <c r="E60" i="23"/>
  <c r="E56" i="23"/>
  <c r="D53" i="23"/>
  <c r="E14" i="23"/>
  <c r="E37" i="23"/>
  <c r="E26" i="23"/>
  <c r="E36" i="23"/>
  <c r="C59" i="23"/>
  <c r="F31" i="23"/>
  <c r="D52" i="23"/>
  <c r="C41" i="23"/>
  <c r="O28" i="23"/>
  <c r="O17" i="23"/>
  <c r="F33" i="23"/>
  <c r="E11" i="23"/>
  <c r="C43" i="23"/>
  <c r="F59" i="23"/>
  <c r="D54" i="23"/>
  <c r="C24" i="23"/>
  <c r="D13" i="23"/>
  <c r="C23" i="23"/>
  <c r="G26" i="23"/>
  <c r="G43" i="23"/>
  <c r="E27" i="23"/>
  <c r="D18" i="23"/>
  <c r="E41" i="23"/>
  <c r="D16" i="23"/>
  <c r="E44" i="23"/>
  <c r="D59" i="23"/>
  <c r="E24" i="23"/>
  <c r="C35" i="23"/>
  <c r="F27" i="23"/>
  <c r="E12" i="23"/>
  <c r="F16" i="23"/>
  <c r="F60" i="23"/>
  <c r="D39" i="23"/>
  <c r="D45" i="23"/>
  <c r="F44" i="23"/>
  <c r="G57" i="23"/>
  <c r="D36" i="23"/>
  <c r="C60" i="23"/>
  <c r="E15" i="23"/>
  <c r="E18" i="23"/>
  <c r="C48" i="23"/>
  <c r="C25" i="23"/>
  <c r="G15" i="23"/>
  <c r="C17" i="23"/>
  <c r="D35" i="23"/>
  <c r="D33" i="23"/>
  <c r="O29" i="23"/>
  <c r="D28" i="23"/>
  <c r="C55" i="23"/>
  <c r="G51" i="23"/>
  <c r="D17" i="23"/>
  <c r="C34" i="23"/>
  <c r="C31" i="23"/>
  <c r="E30" i="23"/>
  <c r="O23" i="23"/>
  <c r="F18" i="46"/>
  <c r="F38" i="46"/>
  <c r="F25" i="46"/>
  <c r="G13" i="23"/>
  <c r="F30" i="23"/>
  <c r="C20" i="23"/>
  <c r="E59" i="23"/>
  <c r="G36" i="23"/>
  <c r="O31" i="23"/>
  <c r="F23" i="46"/>
  <c r="F36" i="46"/>
  <c r="O16" i="23"/>
  <c r="F11" i="46"/>
  <c r="F40" i="46"/>
  <c r="F17" i="46"/>
  <c r="F27" i="46"/>
  <c r="F43" i="46"/>
  <c r="F56" i="23"/>
  <c r="C37" i="23"/>
  <c r="D38" i="23"/>
  <c r="E29" i="23"/>
  <c r="C57" i="23"/>
  <c r="G50" i="23"/>
  <c r="F42" i="46"/>
  <c r="F41" i="46"/>
  <c r="G22" i="23"/>
  <c r="D49" i="23"/>
  <c r="E62" i="23"/>
  <c r="O20" i="23"/>
  <c r="G47" i="23"/>
  <c r="F23" i="23"/>
  <c r="G62" i="23"/>
  <c r="D19" i="23"/>
  <c r="F19" i="46"/>
  <c r="F20" i="46"/>
  <c r="E42" i="23"/>
  <c r="G18" i="23"/>
  <c r="D23" i="23"/>
  <c r="F34" i="23"/>
  <c r="F24" i="46"/>
  <c r="G35" i="23"/>
  <c r="C39" i="23"/>
  <c r="F19" i="23"/>
  <c r="F16" i="46"/>
  <c r="C33" i="23"/>
  <c r="C26" i="23"/>
  <c r="E48" i="23"/>
  <c r="F22" i="46"/>
  <c r="G54" i="23"/>
  <c r="E23" i="23"/>
  <c r="C52" i="23"/>
  <c r="E25" i="23"/>
  <c r="G46" i="23"/>
  <c r="F34" i="46"/>
  <c r="F12" i="46"/>
  <c r="F10" i="46"/>
  <c r="G42" i="23"/>
  <c r="O26" i="23"/>
  <c r="E40" i="23"/>
  <c r="D24" i="23"/>
  <c r="F14" i="23"/>
  <c r="C16" i="23"/>
  <c r="E45" i="23"/>
  <c r="D30" i="23"/>
  <c r="F7" i="46"/>
  <c r="F26" i="46"/>
  <c r="F48" i="23"/>
  <c r="F15" i="46"/>
  <c r="F37" i="46"/>
  <c r="F35" i="46"/>
  <c r="F33" i="46"/>
  <c r="F39" i="46"/>
  <c r="F6" i="46"/>
  <c r="F30" i="46"/>
  <c r="F31" i="46"/>
  <c r="F5" i="46"/>
  <c r="F8" i="46"/>
  <c r="F28" i="46"/>
  <c r="F32" i="46"/>
  <c r="F14" i="46"/>
  <c r="F13" i="46"/>
  <c r="F29" i="46"/>
  <c r="F44" i="46"/>
  <c r="F21" i="46"/>
  <c r="F4" i="46"/>
  <c r="F9" i="46"/>
  <c r="M6" i="46" a="1"/>
  <c r="U36" i="46" a="1"/>
  <c r="M35" i="46" a="1"/>
  <c r="U21" i="46" a="1"/>
  <c r="U29" i="46" a="1"/>
  <c r="I19" i="46" a="1"/>
  <c r="M22" i="46" a="1"/>
  <c r="M12" i="46" a="1"/>
  <c r="Q4" i="46" a="1"/>
  <c r="Q42" i="46" a="1"/>
  <c r="I37" i="46" a="1"/>
  <c r="U39" i="46" a="1"/>
  <c r="I32" i="46" a="1"/>
  <c r="I27" i="46" a="1"/>
  <c r="M20" i="46" a="1"/>
  <c r="U20" i="46" a="1"/>
  <c r="I25" i="46" a="1"/>
  <c r="M18" i="46" a="1"/>
  <c r="I35" i="46" a="1"/>
  <c r="I24" i="46" a="1"/>
  <c r="U11" i="46" a="1"/>
  <c r="I40" i="46" a="1"/>
  <c r="I23" i="46" a="1"/>
  <c r="U13" i="46" a="1"/>
  <c r="U4" i="46" a="1"/>
  <c r="Q15" i="46" a="1"/>
  <c r="Q43" i="46" a="1"/>
  <c r="U38" i="46" a="1"/>
  <c r="Q9" i="46" a="1"/>
  <c r="I7" i="46" a="1"/>
  <c r="M44" i="46" a="1"/>
  <c r="I5" i="46" a="1"/>
  <c r="Q39" i="46" a="1"/>
  <c r="U30" i="46" a="1"/>
  <c r="M25" i="46" a="1"/>
  <c r="U6" i="46" a="1"/>
  <c r="Q26" i="46" a="1"/>
  <c r="I17" i="46" a="1"/>
  <c r="M21" i="46" a="1"/>
  <c r="U26" i="46" a="1"/>
  <c r="M19" i="46" a="1"/>
  <c r="I26" i="46" a="1"/>
  <c r="Q8" i="46" a="1"/>
  <c r="Q29" i="46" a="1"/>
  <c r="Q30" i="46" a="1"/>
  <c r="U32" i="46" a="1"/>
  <c r="Q17" i="46" a="1"/>
  <c r="I11" i="46" a="1"/>
  <c r="Q34" i="46" a="1"/>
  <c r="M40" i="46" a="1"/>
  <c r="I38" i="46" a="1"/>
  <c r="M14" i="46" a="1"/>
  <c r="Q36" i="46" a="1"/>
  <c r="M24" i="46" a="1"/>
  <c r="M7" i="46" a="1"/>
  <c r="M9" i="46" a="1"/>
  <c r="Q21" i="46" a="1"/>
  <c r="U37" i="46" a="1"/>
  <c r="I39" i="46" a="1"/>
  <c r="U34" i="46" a="1"/>
  <c r="M30" i="46" a="1"/>
  <c r="U14" i="46" a="1"/>
  <c r="U18" i="46" a="1"/>
  <c r="I9" i="46" a="1"/>
  <c r="I13" i="46" a="1"/>
  <c r="Q27" i="46" a="1"/>
  <c r="U10" i="46" a="1"/>
  <c r="Q35" i="46" a="1"/>
  <c r="I41" i="46" a="1"/>
  <c r="Q28" i="46" a="1"/>
  <c r="M33" i="46" a="1"/>
  <c r="M37" i="46" a="1"/>
  <c r="U9" i="46" a="1"/>
  <c r="Q40" i="46" a="1"/>
  <c r="U22" i="46" a="1"/>
  <c r="Q14" i="46" a="1"/>
  <c r="M42" i="46" a="1"/>
  <c r="M17" i="46" a="1"/>
  <c r="I16" i="46" a="1"/>
  <c r="M43" i="46" a="1"/>
  <c r="U25" i="46" a="1"/>
  <c r="Q32" i="46" a="1"/>
  <c r="Q25" i="46" a="1"/>
  <c r="U19" i="46" a="1"/>
  <c r="Q16" i="46" a="1"/>
  <c r="U43" i="46" a="1"/>
  <c r="Q6" i="46" a="1"/>
  <c r="U42" i="46" a="1"/>
  <c r="U41" i="46" a="1"/>
  <c r="U15" i="46" a="1"/>
  <c r="M5" i="46" a="1"/>
  <c r="Q38" i="46" a="1"/>
  <c r="U23" i="46" a="1"/>
  <c r="I28" i="46" a="1"/>
  <c r="U16" i="46" a="1"/>
  <c r="I22" i="46" a="1"/>
  <c r="Q12" i="46" a="1"/>
  <c r="M39" i="46" a="1"/>
  <c r="I36" i="46" a="1"/>
  <c r="M27" i="46" a="1"/>
  <c r="I12" i="46" a="1"/>
  <c r="M13" i="46" a="1"/>
  <c r="M34" i="46" a="1"/>
  <c r="U40" i="46" a="1"/>
  <c r="Q24" i="46" a="1"/>
  <c r="M32" i="46" a="1"/>
  <c r="I21" i="46" a="1"/>
  <c r="M23" i="46" a="1"/>
  <c r="U33" i="46" a="1"/>
  <c r="Q13" i="46" a="1"/>
  <c r="I4" i="46" a="1"/>
  <c r="Q31" i="46" a="1"/>
  <c r="M26" i="46" a="1"/>
  <c r="U17" i="46" a="1"/>
  <c r="U31" i="46" a="1"/>
  <c r="Q20" i="46" a="1"/>
  <c r="M10" i="46" a="1"/>
  <c r="Q7" i="46" a="1"/>
  <c r="Q23" i="46" a="1"/>
  <c r="M29" i="46" a="1"/>
  <c r="Q41" i="46" a="1"/>
  <c r="M36" i="46" a="1"/>
  <c r="Q11" i="46" a="1"/>
  <c r="M11" i="46" a="1"/>
  <c r="U8" i="46" a="1"/>
  <c r="Q10" i="46" a="1"/>
  <c r="Q44" i="46" a="1"/>
  <c r="M8" i="46" a="1"/>
  <c r="I30" i="46" a="1"/>
  <c r="Q37" i="46" a="1"/>
  <c r="U27" i="46" a="1"/>
  <c r="I29" i="46" a="1"/>
  <c r="I14" i="46" a="1"/>
  <c r="I6" i="46" a="1"/>
  <c r="I10" i="46" a="1"/>
  <c r="I42" i="46" a="1"/>
  <c r="M4" i="46" a="1"/>
  <c r="I43" i="46" a="1"/>
  <c r="M16" i="46" a="1"/>
  <c r="Q5" i="46" a="1"/>
  <c r="U5" i="46" a="1"/>
  <c r="I33" i="46" a="1"/>
  <c r="I20" i="46" a="1"/>
  <c r="U12" i="46" a="1"/>
  <c r="I34" i="46" a="1"/>
  <c r="I44" i="46" a="1"/>
  <c r="M41" i="46" a="1"/>
  <c r="Q22" i="46" a="1"/>
  <c r="Q18" i="46" a="1"/>
  <c r="I18" i="46" a="1"/>
  <c r="Q33" i="46" a="1"/>
  <c r="M28" i="46" a="1"/>
  <c r="I31" i="46" a="1"/>
  <c r="I15" i="46" a="1"/>
  <c r="U44" i="46" a="1"/>
  <c r="M31" i="46" a="1"/>
  <c r="I8" i="46" a="1"/>
  <c r="M15" i="46" a="1"/>
  <c r="U35" i="46" a="1"/>
  <c r="M38" i="46" a="1"/>
  <c r="U24" i="46" a="1"/>
  <c r="Q19" i="46" a="1"/>
  <c r="U7" i="46" a="1"/>
  <c r="U28" i="46" a="1"/>
  <c r="Q16" i="46" l="1"/>
  <c r="R16" i="46" s="1"/>
  <c r="U16" i="46"/>
  <c r="V16" i="46" s="1"/>
  <c r="I16" i="46"/>
  <c r="J16" i="46" s="1"/>
  <c r="M16" i="46"/>
  <c r="N16" i="46" s="1"/>
  <c r="M41" i="46"/>
  <c r="N41" i="46" s="1"/>
  <c r="I41" i="46"/>
  <c r="J41" i="46" s="1"/>
  <c r="Q41" i="46"/>
  <c r="R41" i="46" s="1"/>
  <c r="U41" i="46"/>
  <c r="V41" i="46" s="1"/>
  <c r="I43" i="46"/>
  <c r="J43" i="46" s="1"/>
  <c r="M43" i="46"/>
  <c r="N43" i="46" s="1"/>
  <c r="Q43" i="46"/>
  <c r="R43" i="46" s="1"/>
  <c r="U43" i="46"/>
  <c r="V43" i="46" s="1"/>
  <c r="I8" i="46"/>
  <c r="J8" i="46" s="1"/>
  <c r="M8" i="46"/>
  <c r="N8" i="46" s="1"/>
  <c r="Q8" i="46"/>
  <c r="R8" i="46" s="1"/>
  <c r="U8" i="46"/>
  <c r="V8" i="46" s="1"/>
  <c r="U33" i="46"/>
  <c r="V33" i="46" s="1"/>
  <c r="I33" i="46"/>
  <c r="J33" i="46" s="1"/>
  <c r="M33" i="46"/>
  <c r="N33" i="46" s="1"/>
  <c r="Q33" i="46"/>
  <c r="R33" i="46" s="1"/>
  <c r="I24" i="46"/>
  <c r="J24" i="46" s="1"/>
  <c r="M24" i="46"/>
  <c r="N24" i="46" s="1"/>
  <c r="Q24" i="46"/>
  <c r="R24" i="46" s="1"/>
  <c r="U24" i="46"/>
  <c r="V24" i="46" s="1"/>
  <c r="I42" i="46"/>
  <c r="J42" i="46" s="1"/>
  <c r="M42" i="46"/>
  <c r="N42" i="46" s="1"/>
  <c r="Q42" i="46"/>
  <c r="R42" i="46" s="1"/>
  <c r="U42" i="46"/>
  <c r="V42" i="46" s="1"/>
  <c r="M31" i="46"/>
  <c r="N31" i="46" s="1"/>
  <c r="Q31" i="46"/>
  <c r="R31" i="46" s="1"/>
  <c r="U31" i="46"/>
  <c r="V31" i="46" s="1"/>
  <c r="I31" i="46"/>
  <c r="J31" i="46" s="1"/>
  <c r="U9" i="46"/>
  <c r="V9" i="46" s="1"/>
  <c r="I9" i="46"/>
  <c r="J9" i="46" s="1"/>
  <c r="M9" i="46"/>
  <c r="N9" i="46" s="1"/>
  <c r="Q9" i="46"/>
  <c r="R9" i="46" s="1"/>
  <c r="Q5" i="46"/>
  <c r="R5" i="46" s="1"/>
  <c r="I5" i="46"/>
  <c r="J5" i="46" s="1"/>
  <c r="M5" i="46"/>
  <c r="N5" i="46" s="1"/>
  <c r="U5" i="46"/>
  <c r="V5" i="46" s="1"/>
  <c r="M29" i="46"/>
  <c r="N29" i="46" s="1"/>
  <c r="I29" i="46"/>
  <c r="J29" i="46" s="1"/>
  <c r="Q29" i="46"/>
  <c r="R29" i="46" s="1"/>
  <c r="U29" i="46"/>
  <c r="V29" i="46" s="1"/>
  <c r="I39" i="46"/>
  <c r="J39" i="46" s="1"/>
  <c r="M39" i="46"/>
  <c r="N39" i="46" s="1"/>
  <c r="Q39" i="46"/>
  <c r="R39" i="46" s="1"/>
  <c r="U39" i="46"/>
  <c r="V39" i="46" s="1"/>
  <c r="Q27" i="46"/>
  <c r="R27" i="46" s="1"/>
  <c r="U27" i="46"/>
  <c r="V27" i="46" s="1"/>
  <c r="I27" i="46"/>
  <c r="J27" i="46" s="1"/>
  <c r="M27" i="46"/>
  <c r="N27" i="46" s="1"/>
  <c r="U17" i="46"/>
  <c r="V17" i="46" s="1"/>
  <c r="I17" i="46"/>
  <c r="J17" i="46" s="1"/>
  <c r="M17" i="46"/>
  <c r="N17" i="46" s="1"/>
  <c r="Q17" i="46"/>
  <c r="R17" i="46" s="1"/>
  <c r="U40" i="46"/>
  <c r="V40" i="46" s="1"/>
  <c r="I40" i="46"/>
  <c r="J40" i="46" s="1"/>
  <c r="M40" i="46"/>
  <c r="N40" i="46" s="1"/>
  <c r="Q40" i="46"/>
  <c r="R40" i="46" s="1"/>
  <c r="Q13" i="46"/>
  <c r="R13" i="46" s="1"/>
  <c r="I13" i="46"/>
  <c r="J13" i="46" s="1"/>
  <c r="M13" i="46"/>
  <c r="N13" i="46" s="1"/>
  <c r="U13" i="46"/>
  <c r="V13" i="46" s="1"/>
  <c r="U37" i="46"/>
  <c r="V37" i="46" s="1"/>
  <c r="M37" i="46"/>
  <c r="N37" i="46" s="1"/>
  <c r="I37" i="46"/>
  <c r="J37" i="46" s="1"/>
  <c r="Q37" i="46"/>
  <c r="R37" i="46" s="1"/>
  <c r="M35" i="46"/>
  <c r="N35" i="46" s="1"/>
  <c r="I35" i="46"/>
  <c r="J35" i="46" s="1"/>
  <c r="Q35" i="46"/>
  <c r="R35" i="46" s="1"/>
  <c r="U35" i="46"/>
  <c r="V35" i="46" s="1"/>
  <c r="U15" i="46"/>
  <c r="V15" i="46" s="1"/>
  <c r="I15" i="46"/>
  <c r="J15" i="46" s="1"/>
  <c r="M15" i="46"/>
  <c r="N15" i="46" s="1"/>
  <c r="Q15" i="46"/>
  <c r="R15" i="46" s="1"/>
  <c r="Q22" i="46"/>
  <c r="R22" i="46" s="1"/>
  <c r="U22" i="46"/>
  <c r="V22" i="46" s="1"/>
  <c r="I22" i="46"/>
  <c r="J22" i="46" s="1"/>
  <c r="M22" i="46"/>
  <c r="N22" i="46" s="1"/>
  <c r="I11" i="46"/>
  <c r="J11" i="46" s="1"/>
  <c r="M11" i="46"/>
  <c r="N11" i="46" s="1"/>
  <c r="U11" i="46"/>
  <c r="V11" i="46" s="1"/>
  <c r="Q11" i="46"/>
  <c r="R11" i="46" s="1"/>
  <c r="M36" i="46"/>
  <c r="N36" i="46" s="1"/>
  <c r="U36" i="46"/>
  <c r="V36" i="46" s="1"/>
  <c r="Q36" i="46"/>
  <c r="R36" i="46" s="1"/>
  <c r="I36" i="46"/>
  <c r="J36" i="46" s="1"/>
  <c r="Q25" i="46"/>
  <c r="R25" i="46" s="1"/>
  <c r="I25" i="46"/>
  <c r="J25" i="46" s="1"/>
  <c r="M25" i="46"/>
  <c r="N25" i="46" s="1"/>
  <c r="U25" i="46"/>
  <c r="V25" i="46" s="1"/>
  <c r="Q34" i="46"/>
  <c r="R34" i="46" s="1"/>
  <c r="U34" i="46"/>
  <c r="V34" i="46" s="1"/>
  <c r="I34" i="46"/>
  <c r="J34" i="46" s="1"/>
  <c r="M34" i="46"/>
  <c r="N34" i="46" s="1"/>
  <c r="M21" i="46"/>
  <c r="N21" i="46" s="1"/>
  <c r="Q21" i="46"/>
  <c r="R21" i="46" s="1"/>
  <c r="U21" i="46"/>
  <c r="V21" i="46" s="1"/>
  <c r="I21" i="46"/>
  <c r="J21" i="46" s="1"/>
  <c r="M32" i="46"/>
  <c r="N32" i="46" s="1"/>
  <c r="Q32" i="46"/>
  <c r="R32" i="46" s="1"/>
  <c r="U32" i="46"/>
  <c r="V32" i="46" s="1"/>
  <c r="I32" i="46"/>
  <c r="J32" i="46" s="1"/>
  <c r="U10" i="46"/>
  <c r="V10" i="46" s="1"/>
  <c r="I10" i="46"/>
  <c r="J10" i="46" s="1"/>
  <c r="M10" i="46"/>
  <c r="N10" i="46" s="1"/>
  <c r="Q10" i="46"/>
  <c r="R10" i="46" s="1"/>
  <c r="I20" i="46"/>
  <c r="J20" i="46" s="1"/>
  <c r="M20" i="46"/>
  <c r="N20" i="46" s="1"/>
  <c r="Q20" i="46"/>
  <c r="R20" i="46" s="1"/>
  <c r="U20" i="46"/>
  <c r="V20" i="46" s="1"/>
  <c r="I23" i="46"/>
  <c r="J23" i="46" s="1"/>
  <c r="M23" i="46"/>
  <c r="N23" i="46" s="1"/>
  <c r="Q23" i="46"/>
  <c r="R23" i="46" s="1"/>
  <c r="U23" i="46"/>
  <c r="V23" i="46" s="1"/>
  <c r="Q38" i="46"/>
  <c r="R38" i="46" s="1"/>
  <c r="M38" i="46"/>
  <c r="N38" i="46" s="1"/>
  <c r="U38" i="46"/>
  <c r="V38" i="46" s="1"/>
  <c r="I38" i="46"/>
  <c r="J38" i="46" s="1"/>
  <c r="M14" i="46"/>
  <c r="N14" i="46" s="1"/>
  <c r="U14" i="46"/>
  <c r="V14" i="46" s="1"/>
  <c r="I14" i="46"/>
  <c r="J14" i="46" s="1"/>
  <c r="Q14" i="46"/>
  <c r="R14" i="46" s="1"/>
  <c r="I44" i="46"/>
  <c r="J44" i="46" s="1"/>
  <c r="M44" i="46"/>
  <c r="N44" i="46" s="1"/>
  <c r="Q44" i="46"/>
  <c r="R44" i="46" s="1"/>
  <c r="U44" i="46"/>
  <c r="V44" i="46" s="1"/>
  <c r="I19" i="46"/>
  <c r="J19" i="46" s="1"/>
  <c r="M19" i="46"/>
  <c r="N19" i="46" s="1"/>
  <c r="Q19" i="46"/>
  <c r="R19" i="46" s="1"/>
  <c r="U19" i="46"/>
  <c r="V19" i="46" s="1"/>
  <c r="U18" i="46"/>
  <c r="V18" i="46" s="1"/>
  <c r="I18" i="46"/>
  <c r="J18" i="46" s="1"/>
  <c r="M18" i="46"/>
  <c r="N18" i="46" s="1"/>
  <c r="Q18" i="46"/>
  <c r="R18" i="46" s="1"/>
  <c r="Q30" i="46"/>
  <c r="R30" i="46" s="1"/>
  <c r="U30" i="46"/>
  <c r="V30" i="46" s="1"/>
  <c r="I30" i="46"/>
  <c r="J30" i="46" s="1"/>
  <c r="M30" i="46"/>
  <c r="N30" i="46" s="1"/>
  <c r="Q4" i="46"/>
  <c r="R4" i="46" s="1"/>
  <c r="U4" i="46"/>
  <c r="V4" i="46" s="1"/>
  <c r="I4" i="46"/>
  <c r="J4" i="46" s="1"/>
  <c r="M4" i="46"/>
  <c r="N4" i="46" s="1"/>
  <c r="U28" i="46"/>
  <c r="V28" i="46" s="1"/>
  <c r="I28" i="46"/>
  <c r="J28" i="46" s="1"/>
  <c r="M28" i="46"/>
  <c r="N28" i="46" s="1"/>
  <c r="Q28" i="46"/>
  <c r="R28" i="46" s="1"/>
  <c r="U6" i="46"/>
  <c r="V6" i="46" s="1"/>
  <c r="I6" i="46"/>
  <c r="J6" i="46" s="1"/>
  <c r="M6" i="46"/>
  <c r="N6" i="46" s="1"/>
  <c r="Q6" i="46"/>
  <c r="R6" i="46" s="1"/>
  <c r="Q26" i="46"/>
  <c r="R26" i="46" s="1"/>
  <c r="U26" i="46"/>
  <c r="V26" i="46" s="1"/>
  <c r="M26" i="46"/>
  <c r="N26" i="46" s="1"/>
  <c r="I26" i="46"/>
  <c r="J26" i="46" s="1"/>
  <c r="I12" i="46"/>
  <c r="J12" i="46" s="1"/>
  <c r="M12" i="46"/>
  <c r="N12" i="46" s="1"/>
  <c r="Q12" i="46"/>
  <c r="R12" i="46" s="1"/>
  <c r="U12" i="46"/>
  <c r="V12" i="46" s="1"/>
  <c r="U7" i="46"/>
  <c r="V7" i="46" s="1"/>
  <c r="I7" i="46"/>
  <c r="J7" i="46" s="1"/>
  <c r="Q7" i="46"/>
  <c r="R7" i="46" s="1"/>
  <c r="M7" i="46"/>
  <c r="N7" i="46" s="1"/>
  <c r="H16" i="46"/>
  <c r="L16" i="46"/>
  <c r="P16" i="46"/>
  <c r="T16" i="46"/>
  <c r="P41" i="46"/>
  <c r="L41" i="46"/>
  <c r="H41" i="46"/>
  <c r="T41" i="46"/>
  <c r="H43" i="46"/>
  <c r="L43" i="46"/>
  <c r="P43" i="46"/>
  <c r="T43" i="46"/>
  <c r="T8" i="46"/>
  <c r="P8" i="46"/>
  <c r="L8" i="46"/>
  <c r="H8" i="46"/>
  <c r="L33" i="46"/>
  <c r="P33" i="46"/>
  <c r="H33" i="46"/>
  <c r="T33" i="46"/>
  <c r="P24" i="46"/>
  <c r="T24" i="46"/>
  <c r="L24" i="46"/>
  <c r="H24" i="46"/>
  <c r="T42" i="46"/>
  <c r="P42" i="46"/>
  <c r="L42" i="46"/>
  <c r="H42" i="46"/>
  <c r="L31" i="46"/>
  <c r="P31" i="46"/>
  <c r="H31" i="46"/>
  <c r="T31" i="46"/>
  <c r="L9" i="46"/>
  <c r="T9" i="46"/>
  <c r="H9" i="46"/>
  <c r="P9" i="46"/>
  <c r="P5" i="46"/>
  <c r="T5" i="46"/>
  <c r="L5" i="46"/>
  <c r="H5" i="46"/>
  <c r="P29" i="46"/>
  <c r="T29" i="46"/>
  <c r="L29" i="46"/>
  <c r="H29" i="46"/>
  <c r="H39" i="46"/>
  <c r="T39" i="46"/>
  <c r="L39" i="46"/>
  <c r="P39" i="46"/>
  <c r="L27" i="46"/>
  <c r="T27" i="46"/>
  <c r="P27" i="46"/>
  <c r="H27" i="46"/>
  <c r="L17" i="46"/>
  <c r="P17" i="46"/>
  <c r="H17" i="46"/>
  <c r="T17" i="46"/>
  <c r="T40" i="46"/>
  <c r="P40" i="46"/>
  <c r="L40" i="46"/>
  <c r="H40" i="46"/>
  <c r="H13" i="46"/>
  <c r="L13" i="46"/>
  <c r="P13" i="46"/>
  <c r="T13" i="46"/>
  <c r="L37" i="46"/>
  <c r="H37" i="46"/>
  <c r="P37" i="46"/>
  <c r="T37" i="46"/>
  <c r="L35" i="46"/>
  <c r="P35" i="46"/>
  <c r="T35" i="46"/>
  <c r="H35" i="46"/>
  <c r="P15" i="46"/>
  <c r="L15" i="46"/>
  <c r="H15" i="46"/>
  <c r="T15" i="46"/>
  <c r="P22" i="46"/>
  <c r="T22" i="46"/>
  <c r="L22" i="46"/>
  <c r="H22" i="46"/>
  <c r="L11" i="46"/>
  <c r="H11" i="46"/>
  <c r="T11" i="46"/>
  <c r="P11" i="46"/>
  <c r="T36" i="46"/>
  <c r="H36" i="46"/>
  <c r="L36" i="46"/>
  <c r="P36" i="46"/>
  <c r="L25" i="46"/>
  <c r="P25" i="46"/>
  <c r="T25" i="46"/>
  <c r="H25" i="46"/>
  <c r="H34" i="46"/>
  <c r="L34" i="46"/>
  <c r="P34" i="46"/>
  <c r="T34" i="46"/>
  <c r="H21" i="46"/>
  <c r="P21" i="46"/>
  <c r="L21" i="46"/>
  <c r="T21" i="46"/>
  <c r="P32" i="46"/>
  <c r="T32" i="46"/>
  <c r="L32" i="46"/>
  <c r="H32" i="46"/>
  <c r="T10" i="46"/>
  <c r="L10" i="46"/>
  <c r="H10" i="46"/>
  <c r="P10" i="46"/>
  <c r="H20" i="46"/>
  <c r="L20" i="46"/>
  <c r="T20" i="46"/>
  <c r="P20" i="46"/>
  <c r="L23" i="46"/>
  <c r="H23" i="46"/>
  <c r="P23" i="46"/>
  <c r="T23" i="46"/>
  <c r="H38" i="46"/>
  <c r="L38" i="46"/>
  <c r="T38" i="46"/>
  <c r="P38" i="46"/>
  <c r="H14" i="46"/>
  <c r="L14" i="46"/>
  <c r="T14" i="46"/>
  <c r="P14" i="46"/>
  <c r="T44" i="46"/>
  <c r="P44" i="46"/>
  <c r="L44" i="46"/>
  <c r="H44" i="46"/>
  <c r="H19" i="46"/>
  <c r="L19" i="46"/>
  <c r="P19" i="46"/>
  <c r="T19" i="46"/>
  <c r="H18" i="46"/>
  <c r="L18" i="46"/>
  <c r="T18" i="46"/>
  <c r="P18" i="46"/>
  <c r="T30" i="46"/>
  <c r="P30" i="46"/>
  <c r="L30" i="46"/>
  <c r="H30" i="46"/>
  <c r="T4" i="46"/>
  <c r="L4" i="46"/>
  <c r="H4" i="46"/>
  <c r="P4" i="46"/>
  <c r="T28" i="46"/>
  <c r="H28" i="46"/>
  <c r="L28" i="46"/>
  <c r="P28" i="46"/>
  <c r="H6" i="46"/>
  <c r="L6" i="46"/>
  <c r="T6" i="46"/>
  <c r="P6" i="46"/>
  <c r="T26" i="46"/>
  <c r="P26" i="46"/>
  <c r="L26" i="46"/>
  <c r="H26" i="46"/>
  <c r="H12" i="46"/>
  <c r="L12" i="46"/>
  <c r="T12" i="46"/>
  <c r="P12" i="46"/>
  <c r="L7" i="46"/>
  <c r="T7" i="46"/>
  <c r="P7" i="46"/>
  <c r="H7" i="4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<sst xmlns="http://schemas.openxmlformats.org/spreadsheetml/2006/main" count="150" uniqueCount="109">
  <si>
    <t>Periods</t>
  </si>
  <si>
    <r>
      <t>c</t>
    </r>
    <r>
      <rPr>
        <vertAlign val="subscript"/>
        <sz val="10"/>
        <rFont val="Arial"/>
        <family val="2"/>
      </rPr>
      <t>cr</t>
    </r>
  </si>
  <si>
    <r>
      <t>d</t>
    </r>
    <r>
      <rPr>
        <vertAlign val="subscript"/>
        <sz val="10"/>
        <rFont val="Arial"/>
        <family val="2"/>
      </rPr>
      <t>cr</t>
    </r>
  </si>
  <si>
    <r>
      <t>b</t>
    </r>
    <r>
      <rPr>
        <vertAlign val="subscript"/>
        <sz val="10"/>
        <rFont val="Arial"/>
        <family val="2"/>
      </rPr>
      <t>cr</t>
    </r>
  </si>
  <si>
    <r>
      <t>g</t>
    </r>
    <r>
      <rPr>
        <vertAlign val="subscript"/>
        <sz val="10"/>
        <rFont val="Arial"/>
        <family val="2"/>
      </rPr>
      <t>cr</t>
    </r>
  </si>
  <si>
    <r>
      <t>g</t>
    </r>
    <r>
      <rPr>
        <vertAlign val="subscript"/>
        <sz val="10"/>
        <rFont val="Arial"/>
        <family val="2"/>
      </rPr>
      <t>crL</t>
    </r>
  </si>
  <si>
    <r>
      <t>e</t>
    </r>
    <r>
      <rPr>
        <vertAlign val="subscript"/>
        <sz val="10"/>
        <rFont val="Arial"/>
        <family val="2"/>
      </rPr>
      <t>cr</t>
    </r>
  </si>
  <si>
    <t>Anelastic attenuation</t>
  </si>
  <si>
    <t>Mw</t>
  </si>
  <si>
    <t>Depth</t>
  </si>
  <si>
    <t>Dist.</t>
  </si>
  <si>
    <t>Fault</t>
  </si>
  <si>
    <t>No.</t>
    <phoneticPr fontId="1" type="noConversion"/>
  </si>
  <si>
    <t>Magnitude terms</t>
  </si>
  <si>
    <t>Depth</t>
    <phoneticPr fontId="13" type="noConversion"/>
  </si>
  <si>
    <t>Geometric spreading</t>
  </si>
  <si>
    <t>t</t>
    <phoneticPr fontId="1" type="noConversion"/>
  </si>
  <si>
    <r>
      <t>p</t>
    </r>
    <r>
      <rPr>
        <vertAlign val="subscript"/>
        <sz val="10"/>
        <rFont val="Arial"/>
        <family val="2"/>
      </rPr>
      <t>cr</t>
    </r>
    <phoneticPr fontId="1" type="noConversion"/>
  </si>
  <si>
    <t>Focal mechanism</t>
  </si>
  <si>
    <t>Sheet name</t>
    <phoneticPr fontId="1" type="noConversion"/>
  </si>
  <si>
    <t>Description</t>
    <phoneticPr fontId="1" type="noConversion"/>
  </si>
  <si>
    <t>Mw</t>
    <phoneticPr fontId="1" type="noConversion"/>
  </si>
  <si>
    <t>Depth</t>
    <phoneticPr fontId="1" type="noConversion"/>
  </si>
  <si>
    <t>Fault</t>
    <phoneticPr fontId="1" type="noConversion"/>
  </si>
  <si>
    <t>Moment magnitude of the events</t>
    <phoneticPr fontId="1" type="noConversion"/>
  </si>
  <si>
    <t>Name</t>
    <phoneticPr fontId="1" type="noConversion"/>
  </si>
  <si>
    <t>Explanation</t>
    <phoneticPr fontId="1" type="noConversion"/>
  </si>
  <si>
    <t>Notes</t>
    <phoneticPr fontId="1" type="noConversion"/>
  </si>
  <si>
    <t>Dist.</t>
    <phoneticPr fontId="1" type="noConversion"/>
  </si>
  <si>
    <t>Focal mechanism of the events</t>
    <phoneticPr fontId="1" type="noConversion"/>
  </si>
  <si>
    <t>The shortest distance from a recording station to the fault plane if a fault model is available and otherwise the hypocentral distance</t>
    <phoneticPr fontId="1" type="noConversion"/>
  </si>
  <si>
    <r>
      <t>f</t>
    </r>
    <r>
      <rPr>
        <i/>
        <vertAlign val="subscript"/>
        <sz val="10"/>
        <rFont val="Times New Roman"/>
        <family val="1"/>
      </rPr>
      <t>m</t>
    </r>
    <phoneticPr fontId="1" type="noConversion"/>
  </si>
  <si>
    <r>
      <t>f</t>
    </r>
    <r>
      <rPr>
        <i/>
        <vertAlign val="subscript"/>
        <sz val="10"/>
        <rFont val="Times New Roman"/>
        <family val="1"/>
      </rPr>
      <t>p</t>
    </r>
    <phoneticPr fontId="1" type="noConversion"/>
  </si>
  <si>
    <r>
      <rPr>
        <i/>
        <sz val="10"/>
        <rFont val="Times New Roman"/>
        <family val="1"/>
      </rPr>
      <t>S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 xml:space="preserve"> (g)</t>
    </r>
    <phoneticPr fontId="1" type="noConversion"/>
  </si>
  <si>
    <r>
      <rPr>
        <i/>
        <sz val="10"/>
        <rFont val="Times New Roman"/>
        <family val="1"/>
      </rPr>
      <t>S</t>
    </r>
    <r>
      <rPr>
        <vertAlign val="subscript"/>
        <sz val="10"/>
        <rFont val="Times New Roman"/>
        <family val="1"/>
      </rPr>
      <t>ela</t>
    </r>
    <r>
      <rPr>
        <sz val="10"/>
        <rFont val="Times New Roman"/>
        <family val="1"/>
      </rPr>
      <t xml:space="preserve"> (g)</t>
    </r>
    <phoneticPr fontId="1" type="noConversion"/>
  </si>
  <si>
    <r>
      <t>A</t>
    </r>
    <r>
      <rPr>
        <vertAlign val="subscript"/>
        <sz val="10"/>
        <rFont val="Times New Roman"/>
        <family val="1"/>
      </rPr>
      <t>NL</t>
    </r>
    <phoneticPr fontId="1" type="noConversion"/>
  </si>
  <si>
    <r>
      <rPr>
        <i/>
        <sz val="10"/>
        <rFont val="Times New Roman"/>
        <family val="1"/>
      </rPr>
      <t>S</t>
    </r>
    <r>
      <rPr>
        <vertAlign val="subscript"/>
        <sz val="10"/>
        <rFont val="Times New Roman"/>
        <family val="1"/>
      </rPr>
      <t>NL</t>
    </r>
    <r>
      <rPr>
        <sz val="10"/>
        <rFont val="Times New Roman"/>
        <family val="1"/>
      </rPr>
      <t xml:space="preserve"> (g)</t>
    </r>
    <phoneticPr fontId="1" type="noConversion"/>
  </si>
  <si>
    <r>
      <t>A</t>
    </r>
    <r>
      <rPr>
        <vertAlign val="subscript"/>
        <sz val="12"/>
        <rFont val="Times New Roman"/>
        <family val="1"/>
      </rPr>
      <t>Nmax</t>
    </r>
    <phoneticPr fontId="1" type="noConversion"/>
  </si>
  <si>
    <t>Predicted response spectra for the reference rock site</t>
    <phoneticPr fontId="1" type="noConversion"/>
  </si>
  <si>
    <t>Site amplification ratio without nonlinear site response</t>
    <phoneticPr fontId="1" type="noConversion"/>
  </si>
  <si>
    <t>Predicted elastic response spectra without nonlinear site response</t>
    <phoneticPr fontId="1" type="noConversion"/>
  </si>
  <si>
    <t>Predicted  response spectra accounting for nonlinear site response</t>
    <phoneticPr fontId="1" type="noConversion"/>
  </si>
  <si>
    <t>NO.</t>
    <phoneticPr fontId="1" type="noConversion"/>
  </si>
  <si>
    <r>
      <rPr>
        <b/>
        <sz val="11"/>
        <color rgb="FFFF0000"/>
        <rFont val="Times New Roman"/>
        <family val="1"/>
      </rPr>
      <t>Table 1</t>
    </r>
    <r>
      <rPr>
        <b/>
        <sz val="11"/>
        <color theme="1"/>
        <rFont val="Times New Roman"/>
        <family val="1"/>
      </rPr>
      <t xml:space="preserve"> A general introduction to the sheets in this file</t>
    </r>
    <phoneticPr fontId="1" type="noConversion"/>
  </si>
  <si>
    <t>Input parameter</t>
    <phoneticPr fontId="1" type="noConversion"/>
  </si>
  <si>
    <t>Distance=</t>
    <phoneticPr fontId="1" type="noConversion"/>
  </si>
  <si>
    <t>Sa(g)</t>
    <phoneticPr fontId="1" type="noConversion"/>
  </si>
  <si>
    <t>Site amplification ratio accounting for both linear and nonlinear site response</t>
    <phoneticPr fontId="1" type="noConversion"/>
  </si>
  <si>
    <t>Depth to top-of-fault  if available and hypercentral depth if not</t>
    <phoneticPr fontId="1" type="noConversion"/>
  </si>
  <si>
    <t>γ</t>
    <phoneticPr fontId="1" type="noConversion"/>
  </si>
  <si>
    <t>f</t>
    <phoneticPr fontId="1" type="noConversion"/>
  </si>
  <si>
    <r>
      <rPr>
        <i/>
        <sz val="10"/>
        <rFont val="Arial"/>
        <family val="2"/>
      </rPr>
      <t>c</t>
    </r>
    <r>
      <rPr>
        <vertAlign val="subscript"/>
        <sz val="10"/>
        <rFont val="Arial"/>
        <family val="2"/>
      </rPr>
      <t>cr</t>
    </r>
    <phoneticPr fontId="1" type="noConversion"/>
  </si>
  <si>
    <t>NLParam Range</t>
    <phoneticPr fontId="1" type="noConversion"/>
  </si>
  <si>
    <t>Depth (km)</t>
    <phoneticPr fontId="1" type="noConversion"/>
  </si>
  <si>
    <t>Dist. (km)</t>
    <phoneticPr fontId="1" type="noConversion"/>
  </si>
  <si>
    <t>NLParam lineNumber</t>
    <phoneticPr fontId="1" type="noConversion"/>
  </si>
  <si>
    <t>Coefficients</t>
    <phoneticPr fontId="1" type="noConversion"/>
  </si>
  <si>
    <t>ln(Tp)</t>
    <phoneticPr fontId="1" type="noConversion"/>
  </si>
  <si>
    <r>
      <t>F</t>
    </r>
    <r>
      <rPr>
        <vertAlign val="subscript"/>
        <sz val="10"/>
        <rFont val="Arial"/>
        <family val="2"/>
      </rPr>
      <t>N</t>
    </r>
    <phoneticPr fontId="1" type="noConversion"/>
  </si>
  <si>
    <r>
      <t>F</t>
    </r>
    <r>
      <rPr>
        <vertAlign val="subscript"/>
        <sz val="10"/>
        <rFont val="Arial"/>
        <family val="2"/>
      </rPr>
      <t>RV</t>
    </r>
    <phoneticPr fontId="1" type="noConversion"/>
  </si>
  <si>
    <r>
      <t>F</t>
    </r>
    <r>
      <rPr>
        <vertAlign val="subscript"/>
        <sz val="10"/>
        <rFont val="Arial"/>
        <family val="2"/>
      </rPr>
      <t>SS</t>
    </r>
    <phoneticPr fontId="1" type="noConversion"/>
  </si>
  <si>
    <r>
      <t>A</t>
    </r>
    <r>
      <rPr>
        <vertAlign val="subscript"/>
        <sz val="10"/>
        <rFont val="Times New Roman"/>
        <family val="1"/>
      </rPr>
      <t>mSCI</t>
    </r>
    <phoneticPr fontId="1" type="noConversion"/>
  </si>
  <si>
    <r>
      <rPr>
        <i/>
        <sz val="10"/>
        <rFont val="Arial"/>
        <family val="2"/>
      </rPr>
      <t>S</t>
    </r>
    <r>
      <rPr>
        <vertAlign val="subscript"/>
        <sz val="10"/>
        <rFont val="Arial"/>
        <family val="2"/>
      </rPr>
      <t>2</t>
    </r>
    <phoneticPr fontId="1" type="noConversion"/>
  </si>
  <si>
    <r>
      <rPr>
        <i/>
        <sz val="10"/>
        <rFont val="Arial"/>
        <family val="2"/>
      </rPr>
      <t>S</t>
    </r>
    <r>
      <rPr>
        <vertAlign val="subscript"/>
        <sz val="10"/>
        <rFont val="Arial"/>
        <family val="2"/>
      </rPr>
      <t>4</t>
    </r>
    <phoneticPr fontId="1" type="noConversion"/>
  </si>
  <si>
    <r>
      <rPr>
        <i/>
        <sz val="10"/>
        <rFont val="Arial"/>
        <family val="2"/>
      </rPr>
      <t>S</t>
    </r>
    <r>
      <rPr>
        <vertAlign val="subscript"/>
        <sz val="10"/>
        <rFont val="Arial"/>
        <family val="2"/>
      </rPr>
      <t>3</t>
    </r>
    <phoneticPr fontId="1" type="noConversion"/>
  </si>
  <si>
    <t>SC</t>
    <phoneticPr fontId="1" type="noConversion"/>
  </si>
  <si>
    <r>
      <rPr>
        <i/>
        <sz val="10"/>
        <rFont val="Arial"/>
        <family val="2"/>
      </rPr>
      <t>A</t>
    </r>
    <r>
      <rPr>
        <vertAlign val="subscript"/>
        <sz val="10"/>
        <rFont val="Arial"/>
        <family val="2"/>
      </rPr>
      <t>mSCI</t>
    </r>
    <phoneticPr fontId="1" type="noConversion"/>
  </si>
  <si>
    <r>
      <t>c</t>
    </r>
    <r>
      <rPr>
        <vertAlign val="subscript"/>
        <sz val="10"/>
        <rFont val="Calibri"/>
        <family val="2"/>
      </rPr>
      <t>1c</t>
    </r>
    <phoneticPr fontId="1" type="noConversion"/>
  </si>
  <si>
    <r>
      <t>c</t>
    </r>
    <r>
      <rPr>
        <vertAlign val="subscript"/>
        <sz val="10"/>
        <rFont val="Arial"/>
        <family val="2"/>
      </rPr>
      <t>2c</t>
    </r>
    <phoneticPr fontId="1" type="noConversion"/>
  </si>
  <si>
    <t>constant term</t>
  </si>
  <si>
    <t>standard deviations</t>
    <phoneticPr fontId="1" type="noConversion"/>
  </si>
  <si>
    <t>="AQ"&amp;G7&amp;":BR"&amp;G7</t>
    <phoneticPr fontId="1" type="noConversion"/>
  </si>
  <si>
    <t>II</t>
    <phoneticPr fontId="1" type="noConversion"/>
  </si>
  <si>
    <r>
      <t>Periods (</t>
    </r>
    <r>
      <rPr>
        <i/>
        <sz val="10"/>
        <color theme="1"/>
        <rFont val="等线"/>
        <family val="3"/>
        <charset val="134"/>
        <scheme val="minor"/>
      </rPr>
      <t>T</t>
    </r>
    <r>
      <rPr>
        <vertAlign val="subscript"/>
        <sz val="10"/>
        <color theme="1"/>
        <rFont val="等线"/>
        <family val="3"/>
        <charset val="134"/>
        <scheme val="minor"/>
      </rPr>
      <t>P</t>
    </r>
    <r>
      <rPr>
        <sz val="10"/>
        <color theme="1"/>
        <rFont val="等线"/>
        <family val="2"/>
        <scheme val="minor"/>
      </rPr>
      <t>)</t>
    </r>
    <phoneticPr fontId="1" type="noConversion"/>
  </si>
  <si>
    <r>
      <t>s</t>
    </r>
    <r>
      <rPr>
        <i/>
        <vertAlign val="subscript"/>
        <sz val="10"/>
        <rFont val="Times New Roman"/>
        <family val="1"/>
      </rPr>
      <t>T</t>
    </r>
    <phoneticPr fontId="1" type="noConversion"/>
  </si>
  <si>
    <t>I</t>
    <phoneticPr fontId="1" type="noConversion"/>
  </si>
  <si>
    <t>III</t>
    <phoneticPr fontId="1" type="noConversion"/>
  </si>
  <si>
    <t>IV</t>
    <phoneticPr fontId="1" type="noConversion"/>
  </si>
  <si>
    <r>
      <t>g</t>
    </r>
    <r>
      <rPr>
        <vertAlign val="subscript"/>
        <sz val="10"/>
        <rFont val="Arial"/>
        <family val="2"/>
      </rPr>
      <t>crN</t>
    </r>
    <phoneticPr fontId="1" type="noConversion"/>
  </si>
  <si>
    <t>beta</t>
    <phoneticPr fontId="1" type="noConversion"/>
  </si>
  <si>
    <r>
      <t>C</t>
    </r>
    <r>
      <rPr>
        <vertAlign val="subscript"/>
        <sz val="10"/>
        <rFont val="Times New Roman"/>
        <family val="1"/>
      </rPr>
      <t>A, II</t>
    </r>
    <phoneticPr fontId="1" type="noConversion"/>
  </si>
  <si>
    <r>
      <t>C</t>
    </r>
    <r>
      <rPr>
        <vertAlign val="subscript"/>
        <sz val="10"/>
        <rFont val="Times New Roman"/>
        <family val="1"/>
      </rPr>
      <t>A, IV</t>
    </r>
    <phoneticPr fontId="1" type="noConversion"/>
  </si>
  <si>
    <r>
      <t>C</t>
    </r>
    <r>
      <rPr>
        <vertAlign val="subscript"/>
        <sz val="10"/>
        <rFont val="Times New Roman"/>
        <family val="1"/>
      </rPr>
      <t>A, III</t>
    </r>
    <phoneticPr fontId="1" type="noConversion"/>
  </si>
  <si>
    <r>
      <t>C</t>
    </r>
    <r>
      <rPr>
        <vertAlign val="subscript"/>
        <sz val="10"/>
        <rFont val="Times New Roman"/>
        <family val="1"/>
      </rPr>
      <t>A, I</t>
    </r>
    <phoneticPr fontId="1" type="noConversion"/>
  </si>
  <si>
    <r>
      <rPr>
        <b/>
        <sz val="11"/>
        <color rgb="FFFF0000"/>
        <rFont val="Times New Roman"/>
        <family val="1"/>
      </rPr>
      <t>Table 2</t>
    </r>
    <r>
      <rPr>
        <b/>
        <sz val="11"/>
        <color theme="1"/>
        <rFont val="Times New Roman"/>
        <family val="1"/>
      </rPr>
      <t xml:space="preserve"> Introduction to the parameters used in this file for the GMM by Hou et al. (2025)</t>
    </r>
    <phoneticPr fontId="1" type="noConversion"/>
  </si>
  <si>
    <t>SWC Model</t>
    <phoneticPr fontId="1" type="noConversion"/>
  </si>
  <si>
    <t>SWC Model Att</t>
    <phoneticPr fontId="1" type="noConversion"/>
  </si>
  <si>
    <t>ParamTable_CD</t>
    <phoneticPr fontId="1" type="noConversion"/>
  </si>
  <si>
    <t>The attenuation of the predicted acceleration response spectra by the SWC model</t>
    <phoneticPr fontId="1" type="noConversion"/>
  </si>
  <si>
    <t>The predicted acceleration response spectra by the SWC model</t>
    <phoneticPr fontId="1" type="noConversion"/>
  </si>
  <si>
    <t>Model coefficients for the SWC model</t>
    <phoneticPr fontId="1" type="noConversion"/>
  </si>
  <si>
    <r>
      <t xml:space="preserve">Site Class derived using </t>
    </r>
    <r>
      <rPr>
        <i/>
        <sz val="11"/>
        <color theme="1"/>
        <rFont val="Times New Roman"/>
        <family val="1"/>
      </rPr>
      <t>V</t>
    </r>
    <r>
      <rPr>
        <vertAlign val="subscript"/>
        <sz val="11"/>
        <color theme="1"/>
        <rFont val="Times New Roman"/>
        <family val="1"/>
      </rPr>
      <t>S30</t>
    </r>
    <r>
      <rPr>
        <sz val="11"/>
        <color theme="1"/>
        <rFont val="Times New Roman"/>
        <family val="1"/>
      </rPr>
      <t xml:space="preserve"> </t>
    </r>
    <phoneticPr fontId="1" type="noConversion"/>
  </si>
  <si>
    <t>1 -- reverse fault; 
2 -- normal fault; 
3 -- strike slip fault.</t>
    <phoneticPr fontId="1" type="noConversion"/>
  </si>
  <si>
    <r>
      <rPr>
        <i/>
        <sz val="10"/>
        <rFont val="Calibri"/>
        <family val="1"/>
      </rPr>
      <t>c</t>
    </r>
    <r>
      <rPr>
        <vertAlign val="subscript"/>
        <sz val="10"/>
        <rFont val="Calibri"/>
        <family val="2"/>
      </rPr>
      <t>1</t>
    </r>
    <phoneticPr fontId="13" type="noConversion"/>
  </si>
  <si>
    <r>
      <rPr>
        <i/>
        <sz val="10"/>
        <rFont val="Times New Roman"/>
        <family val="1"/>
      </rPr>
      <t>c</t>
    </r>
    <r>
      <rPr>
        <vertAlign val="subscript"/>
        <sz val="10"/>
        <rFont val="Calibri"/>
        <family val="2"/>
      </rPr>
      <t>2</t>
    </r>
    <phoneticPr fontId="13" type="noConversion"/>
  </si>
  <si>
    <t>Nonlinear site terms</t>
    <phoneticPr fontId="1" type="noConversion"/>
  </si>
  <si>
    <t>Linear site effect terms</t>
    <phoneticPr fontId="1" type="noConversion"/>
  </si>
  <si>
    <r>
      <t>t</t>
    </r>
    <r>
      <rPr>
        <i/>
        <vertAlign val="subscript"/>
        <sz val="10"/>
        <rFont val="Times New Roman"/>
        <family val="1"/>
      </rPr>
      <t>s</t>
    </r>
    <phoneticPr fontId="1" type="noConversion"/>
  </si>
  <si>
    <r>
      <t>F</t>
    </r>
    <r>
      <rPr>
        <vertAlign val="subscript"/>
        <sz val="10"/>
        <rFont val="Arial"/>
        <family val="2"/>
      </rPr>
      <t>NM</t>
    </r>
    <phoneticPr fontId="1" type="noConversion"/>
  </si>
  <si>
    <t>Standard deviation for each site class</t>
    <phoneticPr fontId="1" type="noConversion"/>
  </si>
  <si>
    <r>
      <t>t</t>
    </r>
    <r>
      <rPr>
        <vertAlign val="subscript"/>
        <sz val="10"/>
        <rFont val="Times New Roman"/>
        <family val="1"/>
      </rPr>
      <t>S, I</t>
    </r>
    <phoneticPr fontId="1" type="noConversion"/>
  </si>
  <si>
    <r>
      <t>f</t>
    </r>
    <r>
      <rPr>
        <vertAlign val="subscript"/>
        <sz val="10"/>
        <rFont val="Times New Roman"/>
        <family val="1"/>
      </rPr>
      <t>S, I</t>
    </r>
    <phoneticPr fontId="1" type="noConversion"/>
  </si>
  <si>
    <r>
      <t>t</t>
    </r>
    <r>
      <rPr>
        <vertAlign val="subscript"/>
        <sz val="10"/>
        <rFont val="Times New Roman"/>
        <family val="1"/>
      </rPr>
      <t>S, II</t>
    </r>
    <phoneticPr fontId="1" type="noConversion"/>
  </si>
  <si>
    <r>
      <t>f</t>
    </r>
    <r>
      <rPr>
        <vertAlign val="subscript"/>
        <sz val="10"/>
        <rFont val="Times New Roman"/>
        <family val="1"/>
      </rPr>
      <t>S, II</t>
    </r>
    <phoneticPr fontId="1" type="noConversion"/>
  </si>
  <si>
    <r>
      <t>t</t>
    </r>
    <r>
      <rPr>
        <vertAlign val="subscript"/>
        <sz val="10"/>
        <rFont val="Times New Roman"/>
        <family val="1"/>
      </rPr>
      <t>S, III</t>
    </r>
    <phoneticPr fontId="1" type="noConversion"/>
  </si>
  <si>
    <r>
      <t>f</t>
    </r>
    <r>
      <rPr>
        <vertAlign val="subscript"/>
        <sz val="10"/>
        <rFont val="Times New Roman"/>
        <family val="1"/>
      </rPr>
      <t>S, III</t>
    </r>
    <phoneticPr fontId="1" type="noConversion"/>
  </si>
  <si>
    <r>
      <t>t</t>
    </r>
    <r>
      <rPr>
        <vertAlign val="subscript"/>
        <sz val="10"/>
        <rFont val="Times New Roman"/>
        <family val="1"/>
      </rPr>
      <t>S, IV</t>
    </r>
    <phoneticPr fontId="1" type="noConversion"/>
  </si>
  <si>
    <r>
      <t>f</t>
    </r>
    <r>
      <rPr>
        <vertAlign val="subscript"/>
        <sz val="10"/>
        <rFont val="Times New Roman"/>
        <family val="1"/>
      </rPr>
      <t>S, IV</t>
    </r>
    <phoneticPr fontId="1" type="noConversion"/>
  </si>
  <si>
    <t>This is a supplement for the manuscript by Hou et al. (2026) entitiled "An empirically regional ground motion model for earthquakes in Sichuan-Yunnan of Southwest China", publicated at Bulletin of Earthquake Engineering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</si>
</sst>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.000"/>
    <numFmt numFmtId="177" formatCode="0.0000"/>
    <numFmt numFmtId="178" formatCode="0.00000"/>
    <numFmt numFmtId="179" formatCode="0.0"/>
    <numFmt numFmtId="180" formatCode="0.000_ "/>
    <numFmt numFmtId="181" formatCode="0.000E+00"/>
    <numFmt numFmtId="182" formatCode="0.000000"/>
    <numFmt numFmtId="183" formatCode="0.00000_ "/>
    <numFmt numFmtId="184" formatCode="0.00_);[Red]\(0.00\)"/>
    <numFmt numFmtId="185" formatCode="0.0_);[Red]\(0.0\)"/>
  </numFmts>
  <fonts count="3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name val="Calibri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vertAlign val="subscript"/>
      <sz val="10"/>
      <name val="Calibri"/>
      <family val="2"/>
    </font>
    <font>
      <sz val="10"/>
      <color rgb="FF000000"/>
      <name val="Times New Roman"/>
      <family val="1"/>
    </font>
    <font>
      <i/>
      <sz val="10"/>
      <name val="Times New Roman"/>
      <family val="1"/>
    </font>
    <font>
      <i/>
      <vertAlign val="subscript"/>
      <sz val="10"/>
      <name val="Times New Roman"/>
      <family val="1"/>
    </font>
    <font>
      <sz val="10"/>
      <name val="Times New Roman"/>
      <family val="1"/>
    </font>
    <font>
      <vertAlign val="subscript"/>
      <sz val="10"/>
      <name val="Times New Roman"/>
      <family val="1"/>
    </font>
    <font>
      <sz val="12"/>
      <name val="Times New Roman"/>
      <family val="1"/>
    </font>
    <font>
      <vertAlign val="subscript"/>
      <sz val="12"/>
      <name val="Times New Roman"/>
      <family val="1"/>
    </font>
    <font>
      <sz val="9"/>
      <name val="宋体"/>
      <family val="3"/>
      <charset val="134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Arial"/>
      <family val="2"/>
    </font>
    <font>
      <vertAlign val="subscript"/>
      <sz val="11"/>
      <color theme="1"/>
      <name val="Times New Roman"/>
      <family val="1"/>
    </font>
    <font>
      <sz val="11"/>
      <name val="Times New Roman"/>
      <family val="1"/>
    </font>
    <font>
      <i/>
      <sz val="10"/>
      <name val="Symbol"/>
      <family val="1"/>
      <charset val="2"/>
    </font>
    <font>
      <sz val="10"/>
      <color theme="1"/>
      <name val="Times New Roman"/>
      <family val="1"/>
    </font>
    <font>
      <i/>
      <sz val="11"/>
      <color theme="1"/>
      <name val="Times New Roman"/>
      <family val="1"/>
    </font>
    <font>
      <sz val="10"/>
      <color theme="1"/>
      <name val="等线"/>
      <family val="2"/>
      <scheme val="minor"/>
    </font>
    <font>
      <sz val="11"/>
      <name val="等线"/>
      <family val="2"/>
      <scheme val="minor"/>
    </font>
    <font>
      <i/>
      <sz val="10"/>
      <name val="Arial"/>
      <family val="2"/>
    </font>
    <font>
      <b/>
      <sz val="11"/>
      <color theme="1"/>
      <name val="等线"/>
      <family val="3"/>
      <charset val="134"/>
      <scheme val="minor"/>
    </font>
    <font>
      <b/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FF0000"/>
      <name val="黑体"/>
      <family val="3"/>
      <charset val="134"/>
    </font>
    <font>
      <sz val="10"/>
      <name val="Calibri"/>
      <family val="1"/>
    </font>
    <font>
      <i/>
      <sz val="10"/>
      <name val="Calibri"/>
      <family val="2"/>
    </font>
    <font>
      <sz val="11"/>
      <color theme="1"/>
      <name val="Times New Roman"/>
      <family val="2"/>
      <charset val="134"/>
    </font>
    <font>
      <i/>
      <sz val="10"/>
      <name val="Calibri"/>
      <family val="1"/>
    </font>
    <font>
      <i/>
      <sz val="10"/>
      <color theme="1"/>
      <name val="等线"/>
      <family val="3"/>
      <charset val="134"/>
      <scheme val="minor"/>
    </font>
    <font>
      <vertAlign val="subscript"/>
      <sz val="10"/>
      <color theme="1"/>
      <name val="等线"/>
      <family val="3"/>
      <charset val="134"/>
      <scheme val="minor"/>
    </font>
    <font>
      <sz val="10"/>
      <color theme="1"/>
      <name val="Segoe UI"/>
      <family val="2"/>
    </font>
    <font>
      <b/>
      <sz val="11"/>
      <color theme="9"/>
      <name val="黑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14" fillId="0" borderId="0"/>
    <xf numFmtId="0" fontId="31" fillId="0" borderId="0">
      <alignment vertical="center"/>
    </xf>
  </cellStyleXfs>
  <cellXfs count="136">
    <xf numFmtId="0" fontId="0" fillId="0" borderId="0" xfId="0"/>
    <xf numFmtId="0" fontId="2" fillId="0" borderId="0" xfId="1" applyFont="1" applyAlignment="1">
      <alignment horizontal="center"/>
    </xf>
    <xf numFmtId="176" fontId="3" fillId="0" borderId="0" xfId="1" applyNumberFormat="1"/>
    <xf numFmtId="176" fontId="0" fillId="0" borderId="0" xfId="0" applyNumberFormat="1"/>
    <xf numFmtId="0" fontId="3" fillId="0" borderId="0" xfId="0" applyFont="1" applyAlignment="1">
      <alignment horizontal="center"/>
    </xf>
    <xf numFmtId="0" fontId="1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176" fontId="0" fillId="0" borderId="0" xfId="0" applyNumberFormat="1" applyAlignment="1">
      <alignment horizontal="center" wrapText="1"/>
    </xf>
    <xf numFmtId="0" fontId="7" fillId="0" borderId="0" xfId="0" applyFont="1" applyAlignment="1">
      <alignment horizontal="center" wrapText="1"/>
    </xf>
    <xf numFmtId="0" fontId="9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78" fontId="0" fillId="0" borderId="0" xfId="0" applyNumberFormat="1"/>
    <xf numFmtId="177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2"/>
    <xf numFmtId="0" fontId="3" fillId="0" borderId="0" xfId="2" applyAlignment="1">
      <alignment horizontal="center"/>
    </xf>
    <xf numFmtId="0" fontId="2" fillId="0" borderId="0" xfId="2" applyFont="1" applyAlignment="1">
      <alignment horizontal="center"/>
    </xf>
    <xf numFmtId="177" fontId="3" fillId="0" borderId="0" xfId="2" applyNumberFormat="1"/>
    <xf numFmtId="176" fontId="3" fillId="0" borderId="0" xfId="2" applyNumberFormat="1"/>
    <xf numFmtId="0" fontId="11" fillId="0" borderId="0" xfId="2" applyFont="1" applyAlignment="1">
      <alignment horizontal="center" wrapText="1"/>
    </xf>
    <xf numFmtId="0" fontId="3" fillId="0" borderId="0" xfId="2" applyAlignment="1">
      <alignment horizontal="center" wrapText="1"/>
    </xf>
    <xf numFmtId="2" fontId="3" fillId="0" borderId="0" xfId="2" applyNumberFormat="1"/>
    <xf numFmtId="0" fontId="7" fillId="0" borderId="0" xfId="2" applyFont="1" applyAlignment="1">
      <alignment horizontal="center"/>
    </xf>
    <xf numFmtId="0" fontId="3" fillId="0" borderId="0" xfId="2" applyAlignment="1">
      <alignment wrapText="1"/>
    </xf>
    <xf numFmtId="179" fontId="3" fillId="0" borderId="0" xfId="2" applyNumberFormat="1"/>
    <xf numFmtId="11" fontId="3" fillId="0" borderId="0" xfId="2" applyNumberFormat="1"/>
    <xf numFmtId="11" fontId="0" fillId="0" borderId="0" xfId="0" applyNumberFormat="1"/>
    <xf numFmtId="0" fontId="0" fillId="0" borderId="0" xfId="0" applyAlignment="1">
      <alignment vertical="center"/>
    </xf>
    <xf numFmtId="182" fontId="0" fillId="0" borderId="0" xfId="0" applyNumberFormat="1"/>
    <xf numFmtId="183" fontId="0" fillId="0" borderId="0" xfId="0" applyNumberFormat="1"/>
    <xf numFmtId="176" fontId="6" fillId="0" borderId="0" xfId="0" applyNumberFormat="1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2" fillId="0" borderId="0" xfId="2" applyFont="1"/>
    <xf numFmtId="0" fontId="7" fillId="0" borderId="0" xfId="2" applyFont="1"/>
    <xf numFmtId="0" fontId="9" fillId="0" borderId="0" xfId="2" applyFont="1" applyAlignment="1">
      <alignment wrapText="1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84" fontId="0" fillId="3" borderId="0" xfId="0" applyNumberFormat="1" applyFill="1" applyAlignment="1">
      <alignment horizontal="center"/>
    </xf>
    <xf numFmtId="179" fontId="0" fillId="0" borderId="0" xfId="0" applyNumberFormat="1"/>
    <xf numFmtId="181" fontId="0" fillId="0" borderId="0" xfId="0" applyNumberFormat="1"/>
    <xf numFmtId="2" fontId="0" fillId="0" borderId="0" xfId="0" applyNumberFormat="1"/>
    <xf numFmtId="0" fontId="3" fillId="0" borderId="0" xfId="0" applyFont="1"/>
    <xf numFmtId="0" fontId="15" fillId="0" borderId="0" xfId="0" applyFont="1"/>
    <xf numFmtId="0" fontId="3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6" fontId="20" fillId="0" borderId="0" xfId="0" applyNumberFormat="1" applyFont="1"/>
    <xf numFmtId="177" fontId="15" fillId="0" borderId="0" xfId="0" applyNumberFormat="1" applyFont="1"/>
    <xf numFmtId="0" fontId="9" fillId="0" borderId="0" xfId="0" applyFont="1" applyAlignment="1">
      <alignment horizontal="center"/>
    </xf>
    <xf numFmtId="0" fontId="22" fillId="0" borderId="0" xfId="0" applyFont="1"/>
    <xf numFmtId="0" fontId="16" fillId="0" borderId="0" xfId="0" applyFont="1" applyAlignment="1">
      <alignment horizontal="center"/>
    </xf>
    <xf numFmtId="184" fontId="0" fillId="0" borderId="0" xfId="0" applyNumberFormat="1" applyAlignment="1">
      <alignment horizontal="center"/>
    </xf>
    <xf numFmtId="185" fontId="0" fillId="0" borderId="0" xfId="0" applyNumberFormat="1" applyAlignment="1">
      <alignment horizontal="center"/>
    </xf>
    <xf numFmtId="180" fontId="0" fillId="0" borderId="0" xfId="0" applyNumberFormat="1"/>
    <xf numFmtId="0" fontId="25" fillId="0" borderId="0" xfId="0" applyFont="1"/>
    <xf numFmtId="0" fontId="26" fillId="0" borderId="1" xfId="0" applyFont="1" applyBorder="1" applyAlignment="1">
      <alignment vertical="center"/>
    </xf>
    <xf numFmtId="0" fontId="15" fillId="0" borderId="1" xfId="0" applyFont="1" applyBorder="1" applyAlignment="1">
      <alignment vertical="center" wrapText="1"/>
    </xf>
    <xf numFmtId="0" fontId="26" fillId="0" borderId="1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0" fontId="9" fillId="0" borderId="1" xfId="0" applyFont="1" applyBorder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0" fontId="26" fillId="0" borderId="4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2" borderId="4" xfId="0" applyFont="1" applyFill="1" applyBorder="1" applyAlignment="1">
      <alignment vertical="center" wrapText="1"/>
    </xf>
    <xf numFmtId="0" fontId="15" fillId="0" borderId="4" xfId="0" applyFont="1" applyBorder="1" applyAlignment="1">
      <alignment wrapText="1"/>
    </xf>
    <xf numFmtId="0" fontId="15" fillId="0" borderId="0" xfId="0" applyFont="1" applyAlignment="1">
      <alignment wrapText="1"/>
    </xf>
    <xf numFmtId="0" fontId="0" fillId="0" borderId="5" xfId="0" applyBorder="1"/>
    <xf numFmtId="0" fontId="15" fillId="0" borderId="5" xfId="0" applyFont="1" applyBorder="1" applyAlignment="1">
      <alignment wrapText="1"/>
    </xf>
    <xf numFmtId="0" fontId="9" fillId="0" borderId="0" xfId="2" applyFont="1"/>
    <xf numFmtId="176" fontId="9" fillId="0" borderId="0" xfId="2" applyNumberFormat="1" applyFont="1"/>
    <xf numFmtId="0" fontId="9" fillId="0" borderId="0" xfId="2" applyFont="1" applyAlignment="1">
      <alignment horizontal="center" wrapText="1"/>
    </xf>
    <xf numFmtId="177" fontId="9" fillId="0" borderId="0" xfId="2" applyNumberFormat="1" applyFont="1"/>
    <xf numFmtId="0" fontId="9" fillId="0" borderId="0" xfId="2" applyFont="1" applyAlignment="1">
      <alignment horizontal="center"/>
    </xf>
    <xf numFmtId="0" fontId="26" fillId="0" borderId="0" xfId="0" applyFont="1" applyAlignment="1">
      <alignment vertical="center"/>
    </xf>
    <xf numFmtId="0" fontId="15" fillId="0" borderId="0" xfId="0" applyFont="1" applyAlignment="1">
      <alignment vertical="center" wrapText="1"/>
    </xf>
    <xf numFmtId="0" fontId="3" fillId="4" borderId="1" xfId="2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4" borderId="1" xfId="0" applyFill="1" applyBorder="1"/>
    <xf numFmtId="0" fontId="3" fillId="4" borderId="1" xfId="2" applyFill="1" applyBorder="1"/>
    <xf numFmtId="177" fontId="3" fillId="4" borderId="1" xfId="2" applyNumberFormat="1" applyFill="1" applyBorder="1"/>
    <xf numFmtId="0" fontId="2" fillId="4" borderId="1" xfId="2" applyFont="1" applyFill="1" applyBorder="1" applyAlignment="1">
      <alignment horizontal="center"/>
    </xf>
    <xf numFmtId="176" fontId="3" fillId="4" borderId="1" xfId="2" applyNumberFormat="1" applyFill="1" applyBorder="1"/>
    <xf numFmtId="0" fontId="3" fillId="2" borderId="1" xfId="2" applyFill="1" applyBorder="1"/>
    <xf numFmtId="0" fontId="3" fillId="2" borderId="1" xfId="2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/>
    <xf numFmtId="0" fontId="18" fillId="0" borderId="1" xfId="0" applyFont="1" applyBorder="1" applyAlignment="1">
      <alignment vertical="center" wrapText="1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18" fillId="4" borderId="1" xfId="2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49" fontId="0" fillId="4" borderId="1" xfId="0" applyNumberForma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1" fillId="4" borderId="1" xfId="0" applyFont="1" applyFill="1" applyBorder="1" applyAlignment="1">
      <alignment horizontal="center" wrapText="1"/>
    </xf>
    <xf numFmtId="0" fontId="9" fillId="4" borderId="1" xfId="0" applyFont="1" applyFill="1" applyBorder="1" applyAlignment="1">
      <alignment horizontal="center" wrapText="1"/>
    </xf>
    <xf numFmtId="0" fontId="11" fillId="6" borderId="1" xfId="0" applyFont="1" applyFill="1" applyBorder="1" applyAlignment="1">
      <alignment horizontal="center" wrapText="1"/>
    </xf>
    <xf numFmtId="0" fontId="9" fillId="6" borderId="1" xfId="0" applyFont="1" applyFill="1" applyBorder="1" applyAlignment="1">
      <alignment horizontal="center" wrapText="1"/>
    </xf>
    <xf numFmtId="0" fontId="11" fillId="5" borderId="1" xfId="0" applyFont="1" applyFill="1" applyBorder="1" applyAlignment="1">
      <alignment horizontal="center" wrapText="1"/>
    </xf>
    <xf numFmtId="0" fontId="9" fillId="5" borderId="1" xfId="0" applyFont="1" applyFill="1" applyBorder="1" applyAlignment="1">
      <alignment horizontal="center" wrapText="1"/>
    </xf>
    <xf numFmtId="177" fontId="0" fillId="5" borderId="1" xfId="0" applyNumberFormat="1" applyFill="1" applyBorder="1"/>
    <xf numFmtId="177" fontId="0" fillId="4" borderId="1" xfId="0" applyNumberFormat="1" applyFill="1" applyBorder="1"/>
    <xf numFmtId="0" fontId="11" fillId="7" borderId="1" xfId="0" applyFont="1" applyFill="1" applyBorder="1" applyAlignment="1">
      <alignment horizontal="center" wrapText="1"/>
    </xf>
    <xf numFmtId="0" fontId="9" fillId="7" borderId="1" xfId="0" applyFont="1" applyFill="1" applyBorder="1" applyAlignment="1">
      <alignment horizontal="center" wrapText="1"/>
    </xf>
    <xf numFmtId="177" fontId="0" fillId="7" borderId="1" xfId="0" applyNumberFormat="1" applyFill="1" applyBorder="1"/>
    <xf numFmtId="177" fontId="0" fillId="6" borderId="1" xfId="0" applyNumberFormat="1" applyFill="1" applyBorder="1"/>
    <xf numFmtId="0" fontId="3" fillId="0" borderId="0" xfId="2" applyAlignment="1">
      <alignment horizontal="center" vertical="center"/>
    </xf>
    <xf numFmtId="178" fontId="3" fillId="0" borderId="0" xfId="2" applyNumberFormat="1"/>
    <xf numFmtId="0" fontId="0" fillId="4" borderId="0" xfId="0" applyFill="1"/>
    <xf numFmtId="1" fontId="3" fillId="0" borderId="0" xfId="2" applyNumberFormat="1"/>
    <xf numFmtId="178" fontId="35" fillId="0" borderId="0" xfId="0" applyNumberFormat="1" applyFont="1"/>
    <xf numFmtId="0" fontId="23" fillId="0" borderId="0" xfId="0" applyFont="1"/>
    <xf numFmtId="0" fontId="3" fillId="6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185" fontId="0" fillId="8" borderId="0" xfId="0" applyNumberFormat="1" applyFill="1" applyAlignment="1">
      <alignment horizontal="center"/>
    </xf>
    <xf numFmtId="0" fontId="35" fillId="0" borderId="0" xfId="0" applyFont="1"/>
    <xf numFmtId="0" fontId="36" fillId="2" borderId="1" xfId="0" applyFont="1" applyFill="1" applyBorder="1"/>
    <xf numFmtId="0" fontId="26" fillId="0" borderId="2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4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5">
    <cellStyle name="Normal 2" xfId="2" xr:uid="{00000000-0005-0000-0000-000000000000}"/>
    <cellStyle name="常规" xfId="0" builtinId="0"/>
    <cellStyle name="常规 2" xfId="1" xr:uid="{00000000-0005-0000-0000-000002000000}"/>
    <cellStyle name="常规 2 2" xfId="4" xr:uid="{811F6305-DA1B-46EA-8F94-3DDB64DA7AF8}"/>
    <cellStyle name="常规 3" xfId="3" xr:uid="{00000000-0005-0000-0000-000003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40794348546037"/>
          <c:y val="4.6296296296296294E-2"/>
          <c:w val="0.78617895476692512"/>
          <c:h val="0.78607758558868668"/>
        </c:manualLayout>
      </c:layout>
      <c:scatterChart>
        <c:scatterStyle val="smoothMarker"/>
        <c:varyColors val="0"/>
        <c:ser>
          <c:idx val="0"/>
          <c:order val="0"/>
          <c:tx>
            <c:v>SC I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'SWC Model'!$C$4:$C$44</c:f>
              <c:numCache>
                <c:formatCode>0.000</c:formatCode>
                <c:ptCount val="41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0.12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0.18</c:v>
                </c:pt>
                <c:pt idx="16">
                  <c:v>0.2</c:v>
                </c:pt>
                <c:pt idx="17">
                  <c:v>0.25</c:v>
                </c:pt>
                <c:pt idx="18">
                  <c:v>0.3</c:v>
                </c:pt>
                <c:pt idx="19">
                  <c:v>0.35</c:v>
                </c:pt>
                <c:pt idx="20">
                  <c:v>0.4</c:v>
                </c:pt>
                <c:pt idx="21">
                  <c:v>0.45</c:v>
                </c:pt>
                <c:pt idx="22">
                  <c:v>0.5</c:v>
                </c:pt>
                <c:pt idx="23">
                  <c:v>0.6</c:v>
                </c:pt>
                <c:pt idx="24">
                  <c:v>0.7</c:v>
                </c:pt>
                <c:pt idx="25">
                  <c:v>0.8</c:v>
                </c:pt>
                <c:pt idx="26">
                  <c:v>0.9</c:v>
                </c:pt>
                <c:pt idx="27">
                  <c:v>1</c:v>
                </c:pt>
                <c:pt idx="28">
                  <c:v>1.25</c:v>
                </c:pt>
                <c:pt idx="29">
                  <c:v>1.5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10</c:v>
                </c:pt>
              </c:numCache>
            </c:numRef>
          </c:xVal>
          <c:yVal>
            <c:numRef>
              <c:f>'SWC Model'!$H$4:$H$44</c:f>
              <c:numCache>
                <c:formatCode>0.0000</c:formatCode>
                <c:ptCount val="41"/>
                <c:pt idx="0">
                  <c:v>0.19742289594482182</c:v>
                </c:pt>
                <c:pt idx="1">
                  <c:v>0.20443283699854431</c:v>
                </c:pt>
                <c:pt idx="2">
                  <c:v>0.23539455995165712</c:v>
                </c:pt>
                <c:pt idx="3">
                  <c:v>0.26794669866233833</c:v>
                </c:pt>
                <c:pt idx="4">
                  <c:v>0.30239088787583707</c:v>
                </c:pt>
                <c:pt idx="5">
                  <c:v>0.34490329389410179</c:v>
                </c:pt>
                <c:pt idx="6">
                  <c:v>0.39248074537941852</c:v>
                </c:pt>
                <c:pt idx="7">
                  <c:v>0.43751734075062876</c:v>
                </c:pt>
                <c:pt idx="8">
                  <c:v>0.47501138167907203</c:v>
                </c:pt>
                <c:pt idx="9">
                  <c:v>0.49927169999913901</c:v>
                </c:pt>
                <c:pt idx="10">
                  <c:v>0.51217602891499514</c:v>
                </c:pt>
                <c:pt idx="11">
                  <c:v>0.51497162655238971</c:v>
                </c:pt>
                <c:pt idx="12">
                  <c:v>0.49297810799703529</c:v>
                </c:pt>
                <c:pt idx="13">
                  <c:v>0.47859960070926971</c:v>
                </c:pt>
                <c:pt idx="14">
                  <c:v>0.46365392047320109</c:v>
                </c:pt>
                <c:pt idx="15">
                  <c:v>0.43824752087461538</c:v>
                </c:pt>
                <c:pt idx="16">
                  <c:v>0.41363495805459005</c:v>
                </c:pt>
                <c:pt idx="17">
                  <c:v>0.35776051994480013</c:v>
                </c:pt>
                <c:pt idx="18">
                  <c:v>0.3203145091700384</c:v>
                </c:pt>
                <c:pt idx="19">
                  <c:v>0.28899456757071451</c:v>
                </c:pt>
                <c:pt idx="20">
                  <c:v>0.26438967545243108</c:v>
                </c:pt>
                <c:pt idx="21">
                  <c:v>0.23838378673867947</c:v>
                </c:pt>
                <c:pt idx="22">
                  <c:v>0.21889814996303733</c:v>
                </c:pt>
                <c:pt idx="23">
                  <c:v>0.1845485048600661</c:v>
                </c:pt>
                <c:pt idx="24">
                  <c:v>0.15863401390497431</c:v>
                </c:pt>
                <c:pt idx="25">
                  <c:v>0.13811828074913129</c:v>
                </c:pt>
                <c:pt idx="26">
                  <c:v>0.12135288426106804</c:v>
                </c:pt>
                <c:pt idx="27">
                  <c:v>0.10683084086168991</c:v>
                </c:pt>
                <c:pt idx="28">
                  <c:v>8.0968267491766735E-2</c:v>
                </c:pt>
                <c:pt idx="29">
                  <c:v>6.3314881495201647E-2</c:v>
                </c:pt>
                <c:pt idx="30">
                  <c:v>4.0937951379342787E-2</c:v>
                </c:pt>
                <c:pt idx="31">
                  <c:v>2.9144637413836896E-2</c:v>
                </c:pt>
                <c:pt idx="32">
                  <c:v>2.1876146231297171E-2</c:v>
                </c:pt>
                <c:pt idx="33">
                  <c:v>1.6877971617704525E-2</c:v>
                </c:pt>
                <c:pt idx="34">
                  <c:v>1.330856488739323E-2</c:v>
                </c:pt>
                <c:pt idx="35">
                  <c:v>1.0733183314817986E-2</c:v>
                </c:pt>
                <c:pt idx="36">
                  <c:v>8.8142132334947994E-3</c:v>
                </c:pt>
                <c:pt idx="37">
                  <c:v>6.1626342790638755E-3</c:v>
                </c:pt>
                <c:pt idx="38">
                  <c:v>4.4761053912836636E-3</c:v>
                </c:pt>
                <c:pt idx="39">
                  <c:v>3.465188677164228E-3</c:v>
                </c:pt>
                <c:pt idx="40">
                  <c:v>2.0952652947662824E-3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4E-499E-9065-E96D6AA9AE08}"/>
            </c:ext>
          </c:extLst>
        </c:ser>
        <c:ser>
          <c:idx val="1"/>
          <c:order val="1"/>
          <c:tx>
            <c:v>SC II</c:v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'SWC Model'!$C$4:$C$44</c:f>
              <c:numCache>
                <c:formatCode>0.000</c:formatCode>
                <c:ptCount val="41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0.12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0.18</c:v>
                </c:pt>
                <c:pt idx="16">
                  <c:v>0.2</c:v>
                </c:pt>
                <c:pt idx="17">
                  <c:v>0.25</c:v>
                </c:pt>
                <c:pt idx="18">
                  <c:v>0.3</c:v>
                </c:pt>
                <c:pt idx="19">
                  <c:v>0.35</c:v>
                </c:pt>
                <c:pt idx="20">
                  <c:v>0.4</c:v>
                </c:pt>
                <c:pt idx="21">
                  <c:v>0.45</c:v>
                </c:pt>
                <c:pt idx="22">
                  <c:v>0.5</c:v>
                </c:pt>
                <c:pt idx="23">
                  <c:v>0.6</c:v>
                </c:pt>
                <c:pt idx="24">
                  <c:v>0.7</c:v>
                </c:pt>
                <c:pt idx="25">
                  <c:v>0.8</c:v>
                </c:pt>
                <c:pt idx="26">
                  <c:v>0.9</c:v>
                </c:pt>
                <c:pt idx="27">
                  <c:v>1</c:v>
                </c:pt>
                <c:pt idx="28">
                  <c:v>1.25</c:v>
                </c:pt>
                <c:pt idx="29">
                  <c:v>1.5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10</c:v>
                </c:pt>
              </c:numCache>
            </c:numRef>
          </c:xVal>
          <c:yVal>
            <c:numRef>
              <c:f>'SWC Model'!$L$4:$L$44</c:f>
              <c:numCache>
                <c:formatCode>0.0000</c:formatCode>
                <c:ptCount val="41"/>
                <c:pt idx="0">
                  <c:v>0.26782080206005898</c:v>
                </c:pt>
                <c:pt idx="1">
                  <c:v>0.2772610541429133</c:v>
                </c:pt>
                <c:pt idx="2">
                  <c:v>0.31962329037575271</c:v>
                </c:pt>
                <c:pt idx="3">
                  <c:v>0.3650842230849628</c:v>
                </c:pt>
                <c:pt idx="4">
                  <c:v>0.41057577801656142</c:v>
                </c:pt>
                <c:pt idx="5">
                  <c:v>0.46121950077363472</c:v>
                </c:pt>
                <c:pt idx="6">
                  <c:v>0.51427465945875495</c:v>
                </c:pt>
                <c:pt idx="7">
                  <c:v>0.56304319100465472</c:v>
                </c:pt>
                <c:pt idx="8">
                  <c:v>0.60400879867848423</c:v>
                </c:pt>
                <c:pt idx="9">
                  <c:v>0.63241159276478354</c:v>
                </c:pt>
                <c:pt idx="10">
                  <c:v>0.65193076812162198</c:v>
                </c:pt>
                <c:pt idx="11">
                  <c:v>0.6743921759164504</c:v>
                </c:pt>
                <c:pt idx="12">
                  <c:v>0.67285157795867001</c:v>
                </c:pt>
                <c:pt idx="13">
                  <c:v>0.66776368180000745</c:v>
                </c:pt>
                <c:pt idx="14">
                  <c:v>0.66098980285326636</c:v>
                </c:pt>
                <c:pt idx="15">
                  <c:v>0.64691432502202462</c:v>
                </c:pt>
                <c:pt idx="16">
                  <c:v>0.62875636274145885</c:v>
                </c:pt>
                <c:pt idx="17">
                  <c:v>0.5657961327658233</c:v>
                </c:pt>
                <c:pt idx="18">
                  <c:v>0.50794001214551032</c:v>
                </c:pt>
                <c:pt idx="19">
                  <c:v>0.44928969970281657</c:v>
                </c:pt>
                <c:pt idx="20">
                  <c:v>0.3982715496735954</c:v>
                </c:pt>
                <c:pt idx="21">
                  <c:v>0.34635072725382027</c:v>
                </c:pt>
                <c:pt idx="22">
                  <c:v>0.30788506661056014</c:v>
                </c:pt>
                <c:pt idx="23">
                  <c:v>0.24505001385603276</c:v>
                </c:pt>
                <c:pt idx="24">
                  <c:v>0.20116384991021496</c:v>
                </c:pt>
                <c:pt idx="25">
                  <c:v>0.16893945983705216</c:v>
                </c:pt>
                <c:pt idx="26">
                  <c:v>0.14427810186082279</c:v>
                </c:pt>
                <c:pt idx="27">
                  <c:v>0.12416566188937486</c:v>
                </c:pt>
                <c:pt idx="28">
                  <c:v>9.0048401350401153E-2</c:v>
                </c:pt>
                <c:pt idx="29">
                  <c:v>6.8464844615191076E-2</c:v>
                </c:pt>
                <c:pt idx="30">
                  <c:v>4.2987421059400018E-2</c:v>
                </c:pt>
                <c:pt idx="31">
                  <c:v>3.0294643983003463E-2</c:v>
                </c:pt>
                <c:pt idx="32">
                  <c:v>2.2726390584211879E-2</c:v>
                </c:pt>
                <c:pt idx="33">
                  <c:v>1.7611803261427198E-2</c:v>
                </c:pt>
                <c:pt idx="34">
                  <c:v>1.3985454209487566E-2</c:v>
                </c:pt>
                <c:pt idx="35">
                  <c:v>1.1373432883974445E-2</c:v>
                </c:pt>
                <c:pt idx="36">
                  <c:v>9.4228308538933294E-3</c:v>
                </c:pt>
                <c:pt idx="37">
                  <c:v>6.7044020218231205E-3</c:v>
                </c:pt>
                <c:pt idx="38">
                  <c:v>4.9477520199031309E-3</c:v>
                </c:pt>
                <c:pt idx="39">
                  <c:v>3.8831127355869652E-3</c:v>
                </c:pt>
                <c:pt idx="40">
                  <c:v>2.3961185988262404E-3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4E-499E-9065-E96D6AA9AE08}"/>
            </c:ext>
          </c:extLst>
        </c:ser>
        <c:ser>
          <c:idx val="2"/>
          <c:order val="2"/>
          <c:tx>
            <c:v>SC III</c:v>
          </c:tx>
          <c:spPr>
            <a:ln w="158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'SWC Model'!$C$4:$C$44</c:f>
              <c:numCache>
                <c:formatCode>0.000</c:formatCode>
                <c:ptCount val="41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0.12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0.18</c:v>
                </c:pt>
                <c:pt idx="16">
                  <c:v>0.2</c:v>
                </c:pt>
                <c:pt idx="17">
                  <c:v>0.25</c:v>
                </c:pt>
                <c:pt idx="18">
                  <c:v>0.3</c:v>
                </c:pt>
                <c:pt idx="19">
                  <c:v>0.35</c:v>
                </c:pt>
                <c:pt idx="20">
                  <c:v>0.4</c:v>
                </c:pt>
                <c:pt idx="21">
                  <c:v>0.45</c:v>
                </c:pt>
                <c:pt idx="22">
                  <c:v>0.5</c:v>
                </c:pt>
                <c:pt idx="23">
                  <c:v>0.6</c:v>
                </c:pt>
                <c:pt idx="24">
                  <c:v>0.7</c:v>
                </c:pt>
                <c:pt idx="25">
                  <c:v>0.8</c:v>
                </c:pt>
                <c:pt idx="26">
                  <c:v>0.9</c:v>
                </c:pt>
                <c:pt idx="27">
                  <c:v>1</c:v>
                </c:pt>
                <c:pt idx="28">
                  <c:v>1.25</c:v>
                </c:pt>
                <c:pt idx="29">
                  <c:v>1.5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10</c:v>
                </c:pt>
              </c:numCache>
            </c:numRef>
          </c:xVal>
          <c:yVal>
            <c:numRef>
              <c:f>'SWC Model'!$P$4:$P$44</c:f>
              <c:numCache>
                <c:formatCode>0.0000</c:formatCode>
                <c:ptCount val="41"/>
                <c:pt idx="0">
                  <c:v>0.32232427623255167</c:v>
                </c:pt>
                <c:pt idx="1">
                  <c:v>0.33369903572421794</c:v>
                </c:pt>
                <c:pt idx="2">
                  <c:v>0.38358570799917585</c:v>
                </c:pt>
                <c:pt idx="3">
                  <c:v>0.43403625832664966</c:v>
                </c:pt>
                <c:pt idx="4">
                  <c:v>0.4845257178625213</c:v>
                </c:pt>
                <c:pt idx="5">
                  <c:v>0.54348606680784206</c:v>
                </c:pt>
                <c:pt idx="6">
                  <c:v>0.60832390564649685</c:v>
                </c:pt>
                <c:pt idx="7">
                  <c:v>0.66536538508180554</c:v>
                </c:pt>
                <c:pt idx="8">
                  <c:v>0.71128896315488199</c:v>
                </c:pt>
                <c:pt idx="9">
                  <c:v>0.73833705656301218</c:v>
                </c:pt>
                <c:pt idx="10">
                  <c:v>0.75546116128232532</c:v>
                </c:pt>
                <c:pt idx="11">
                  <c:v>0.7751385635682414</c:v>
                </c:pt>
                <c:pt idx="12">
                  <c:v>0.77452874030304586</c:v>
                </c:pt>
                <c:pt idx="13">
                  <c:v>0.77111254925029948</c:v>
                </c:pt>
                <c:pt idx="14">
                  <c:v>0.76320632905327412</c:v>
                </c:pt>
                <c:pt idx="15">
                  <c:v>0.75461211850570131</c:v>
                </c:pt>
                <c:pt idx="16">
                  <c:v>0.74029136192056366</c:v>
                </c:pt>
                <c:pt idx="17">
                  <c:v>0.69869466076551712</c:v>
                </c:pt>
                <c:pt idx="18">
                  <c:v>0.65330451590697791</c:v>
                </c:pt>
                <c:pt idx="19">
                  <c:v>0.59617120981476379</c:v>
                </c:pt>
                <c:pt idx="20">
                  <c:v>0.54117573419073317</c:v>
                </c:pt>
                <c:pt idx="21">
                  <c:v>0.47925936574179329</c:v>
                </c:pt>
                <c:pt idx="22">
                  <c:v>0.43134858838959761</c:v>
                </c:pt>
                <c:pt idx="23">
                  <c:v>0.35104777590730091</c:v>
                </c:pt>
                <c:pt idx="24">
                  <c:v>0.29121439534603871</c:v>
                </c:pt>
                <c:pt idx="25">
                  <c:v>0.24517700643465631</c:v>
                </c:pt>
                <c:pt idx="26">
                  <c:v>0.20885969275804467</c:v>
                </c:pt>
                <c:pt idx="27">
                  <c:v>0.17867466835210116</c:v>
                </c:pt>
                <c:pt idx="28">
                  <c:v>0.12743511314590106</c:v>
                </c:pt>
                <c:pt idx="29">
                  <c:v>9.5102037699030126E-2</c:v>
                </c:pt>
                <c:pt idx="30">
                  <c:v>5.7697136182400743E-2</c:v>
                </c:pt>
                <c:pt idx="31">
                  <c:v>3.9538343819161791E-2</c:v>
                </c:pt>
                <c:pt idx="32">
                  <c:v>2.9010180787477313E-2</c:v>
                </c:pt>
                <c:pt idx="33">
                  <c:v>2.2091420425762478E-2</c:v>
                </c:pt>
                <c:pt idx="34">
                  <c:v>1.7301406598315215E-2</c:v>
                </c:pt>
                <c:pt idx="35">
                  <c:v>1.3916569588172759E-2</c:v>
                </c:pt>
                <c:pt idx="36">
                  <c:v>1.1430160945947938E-2</c:v>
                </c:pt>
                <c:pt idx="37">
                  <c:v>8.0338537254936865E-3</c:v>
                </c:pt>
                <c:pt idx="38">
                  <c:v>5.8856273469139438E-3</c:v>
                </c:pt>
                <c:pt idx="39">
                  <c:v>4.6007856548477503E-3</c:v>
                </c:pt>
                <c:pt idx="40">
                  <c:v>2.8342013244076381E-3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4E-499E-9065-E96D6AA9AE08}"/>
            </c:ext>
          </c:extLst>
        </c:ser>
        <c:ser>
          <c:idx val="3"/>
          <c:order val="3"/>
          <c:tx>
            <c:v>SC IV</c:v>
          </c:tx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'SWC Model'!$C$4:$C$44</c:f>
              <c:numCache>
                <c:formatCode>0.000</c:formatCode>
                <c:ptCount val="41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0.12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0.18</c:v>
                </c:pt>
                <c:pt idx="16">
                  <c:v>0.2</c:v>
                </c:pt>
                <c:pt idx="17">
                  <c:v>0.25</c:v>
                </c:pt>
                <c:pt idx="18">
                  <c:v>0.3</c:v>
                </c:pt>
                <c:pt idx="19">
                  <c:v>0.35</c:v>
                </c:pt>
                <c:pt idx="20">
                  <c:v>0.4</c:v>
                </c:pt>
                <c:pt idx="21">
                  <c:v>0.45</c:v>
                </c:pt>
                <c:pt idx="22">
                  <c:v>0.5</c:v>
                </c:pt>
                <c:pt idx="23">
                  <c:v>0.6</c:v>
                </c:pt>
                <c:pt idx="24">
                  <c:v>0.7</c:v>
                </c:pt>
                <c:pt idx="25">
                  <c:v>0.8</c:v>
                </c:pt>
                <c:pt idx="26">
                  <c:v>0.9</c:v>
                </c:pt>
                <c:pt idx="27">
                  <c:v>1</c:v>
                </c:pt>
                <c:pt idx="28">
                  <c:v>1.25</c:v>
                </c:pt>
                <c:pt idx="29">
                  <c:v>1.5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10</c:v>
                </c:pt>
              </c:numCache>
            </c:numRef>
          </c:xVal>
          <c:yVal>
            <c:numRef>
              <c:f>'SWC Model'!$T$4:$T$44</c:f>
              <c:numCache>
                <c:formatCode>0.0000</c:formatCode>
                <c:ptCount val="41"/>
                <c:pt idx="0">
                  <c:v>0.32685547732531472</c:v>
                </c:pt>
                <c:pt idx="1">
                  <c:v>0.33853229571062438</c:v>
                </c:pt>
                <c:pt idx="2">
                  <c:v>0.38561254069356482</c:v>
                </c:pt>
                <c:pt idx="3">
                  <c:v>0.42841316774835803</c:v>
                </c:pt>
                <c:pt idx="4">
                  <c:v>0.46256195797326677</c:v>
                </c:pt>
                <c:pt idx="5">
                  <c:v>0.49784763190764525</c:v>
                </c:pt>
                <c:pt idx="6">
                  <c:v>0.53851076098777739</c:v>
                </c:pt>
                <c:pt idx="7">
                  <c:v>0.57839460365096118</c:v>
                </c:pt>
                <c:pt idx="8">
                  <c:v>0.61486870989885667</c:v>
                </c:pt>
                <c:pt idx="9">
                  <c:v>0.64277866111950921</c:v>
                </c:pt>
                <c:pt idx="10">
                  <c:v>0.66278348778563867</c:v>
                </c:pt>
                <c:pt idx="11">
                  <c:v>0.68818782702620129</c:v>
                </c:pt>
                <c:pt idx="12">
                  <c:v>0.69571129439270418</c:v>
                </c:pt>
                <c:pt idx="13">
                  <c:v>0.69594062040507432</c:v>
                </c:pt>
                <c:pt idx="14">
                  <c:v>0.69477525063471779</c:v>
                </c:pt>
                <c:pt idx="15">
                  <c:v>0.69632316277831707</c:v>
                </c:pt>
                <c:pt idx="16">
                  <c:v>0.69434839250223301</c:v>
                </c:pt>
                <c:pt idx="17">
                  <c:v>0.67154016220343604</c:v>
                </c:pt>
                <c:pt idx="18">
                  <c:v>0.66005512501194163</c:v>
                </c:pt>
                <c:pt idx="19">
                  <c:v>0.64550173014622891</c:v>
                </c:pt>
                <c:pt idx="20">
                  <c:v>0.63350257105500962</c:v>
                </c:pt>
                <c:pt idx="21">
                  <c:v>0.60719617352910304</c:v>
                </c:pt>
                <c:pt idx="22">
                  <c:v>0.58787630079914588</c:v>
                </c:pt>
                <c:pt idx="23">
                  <c:v>0.5394134405016886</c:v>
                </c:pt>
                <c:pt idx="24">
                  <c:v>0.49228102855317829</c:v>
                </c:pt>
                <c:pt idx="25">
                  <c:v>0.44415358950729322</c:v>
                </c:pt>
                <c:pt idx="26">
                  <c:v>0.39693109445076347</c:v>
                </c:pt>
                <c:pt idx="27">
                  <c:v>0.34966188928212488</c:v>
                </c:pt>
                <c:pt idx="28">
                  <c:v>0.25472061537822333</c:v>
                </c:pt>
                <c:pt idx="29">
                  <c:v>0.18720053018618232</c:v>
                </c:pt>
                <c:pt idx="30">
                  <c:v>0.1063087439648112</c:v>
                </c:pt>
                <c:pt idx="31">
                  <c:v>6.7961470252287701E-2</c:v>
                </c:pt>
                <c:pt idx="32">
                  <c:v>4.714070392367898E-2</c:v>
                </c:pt>
                <c:pt idx="33">
                  <c:v>3.4617153223449999E-2</c:v>
                </c:pt>
                <c:pt idx="34">
                  <c:v>2.6508562777005477E-2</c:v>
                </c:pt>
                <c:pt idx="35">
                  <c:v>2.1022224484690766E-2</c:v>
                </c:pt>
                <c:pt idx="36">
                  <c:v>1.7116545327242633E-2</c:v>
                </c:pt>
                <c:pt idx="37">
                  <c:v>1.1926518054468762E-2</c:v>
                </c:pt>
                <c:pt idx="38">
                  <c:v>8.6930454813625106E-3</c:v>
                </c:pt>
                <c:pt idx="39">
                  <c:v>6.7479387200688502E-3</c:v>
                </c:pt>
                <c:pt idx="40">
                  <c:v>4.093458360594395E-3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4E-499E-9065-E96D6AA9A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360624"/>
        <c:axId val="778361184"/>
      </c:scatterChart>
      <c:valAx>
        <c:axId val="778360624"/>
        <c:scaling>
          <c:logBase val="10"/>
          <c:orientation val="minMax"/>
          <c:min val="1.0000000000000002E-2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Spectral</a:t>
                </a:r>
                <a:r>
                  <a:rPr lang="en-US" altLang="zh-CN" sz="12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period</a:t>
                </a:r>
                <a:r>
                  <a:rPr lang="en-US" altLang="zh-CN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(s)</a:t>
                </a:r>
                <a:endParaRPr lang="zh-CN" altLang="en-US" sz="12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778361184"/>
        <c:crossesAt val="1.0000000000000004E-5"/>
        <c:crossBetween val="midCat"/>
      </c:valAx>
      <c:valAx>
        <c:axId val="778361184"/>
        <c:scaling>
          <c:logBase val="10"/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Acc. response spectrum (g)</a:t>
                </a:r>
                <a:endParaRPr lang="zh-CN" alt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7627437666035285E-2"/>
              <c:y val="0.111715577604488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778360624"/>
        <c:crossesAt val="1.0000000000000003E-4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7464827323302717"/>
          <c:y val="0.58370833837669522"/>
          <c:w val="0.21025559250063963"/>
          <c:h val="0.23656282591862424"/>
        </c:manualLayout>
      </c:layout>
      <c:overlay val="0"/>
      <c:spPr>
        <a:solidFill>
          <a:schemeClr val="l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38212560386473"/>
          <c:y val="4.6296296296296294E-2"/>
          <c:w val="0.78920483091787452"/>
          <c:h val="0.78607758558868668"/>
        </c:manualLayout>
      </c:layout>
      <c:scatterChart>
        <c:scatterStyle val="smoothMarker"/>
        <c:varyColors val="0"/>
        <c:ser>
          <c:idx val="0"/>
          <c:order val="0"/>
          <c:tx>
            <c:v>Mw=4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'SWC Model Att'!$B$11:$B$67</c:f>
              <c:numCache>
                <c:formatCode>General</c:formatCode>
                <c:ptCount val="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15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30</c:v>
                </c:pt>
                <c:pt idx="13">
                  <c:v>36</c:v>
                </c:pt>
                <c:pt idx="14">
                  <c:v>41</c:v>
                </c:pt>
                <c:pt idx="15">
                  <c:v>46</c:v>
                </c:pt>
                <c:pt idx="16">
                  <c:v>51</c:v>
                </c:pt>
                <c:pt idx="17">
                  <c:v>56</c:v>
                </c:pt>
                <c:pt idx="18">
                  <c:v>61</c:v>
                </c:pt>
                <c:pt idx="19">
                  <c:v>66</c:v>
                </c:pt>
                <c:pt idx="20">
                  <c:v>71</c:v>
                </c:pt>
                <c:pt idx="21">
                  <c:v>76</c:v>
                </c:pt>
                <c:pt idx="22">
                  <c:v>81</c:v>
                </c:pt>
                <c:pt idx="23">
                  <c:v>86</c:v>
                </c:pt>
                <c:pt idx="24">
                  <c:v>91</c:v>
                </c:pt>
                <c:pt idx="25">
                  <c:v>96</c:v>
                </c:pt>
                <c:pt idx="26">
                  <c:v>100</c:v>
                </c:pt>
                <c:pt idx="27">
                  <c:v>111</c:v>
                </c:pt>
                <c:pt idx="28">
                  <c:v>121</c:v>
                </c:pt>
                <c:pt idx="29">
                  <c:v>131</c:v>
                </c:pt>
                <c:pt idx="30">
                  <c:v>141</c:v>
                </c:pt>
                <c:pt idx="31">
                  <c:v>151</c:v>
                </c:pt>
                <c:pt idx="32">
                  <c:v>161</c:v>
                </c:pt>
                <c:pt idx="33">
                  <c:v>171</c:v>
                </c:pt>
                <c:pt idx="34">
                  <c:v>181</c:v>
                </c:pt>
                <c:pt idx="35">
                  <c:v>191</c:v>
                </c:pt>
                <c:pt idx="36">
                  <c:v>201</c:v>
                </c:pt>
                <c:pt idx="37">
                  <c:v>211</c:v>
                </c:pt>
                <c:pt idx="38">
                  <c:v>221</c:v>
                </c:pt>
                <c:pt idx="39">
                  <c:v>231</c:v>
                </c:pt>
                <c:pt idx="40">
                  <c:v>241</c:v>
                </c:pt>
                <c:pt idx="41">
                  <c:v>251</c:v>
                </c:pt>
                <c:pt idx="42">
                  <c:v>261</c:v>
                </c:pt>
                <c:pt idx="43">
                  <c:v>271</c:v>
                </c:pt>
                <c:pt idx="44">
                  <c:v>281</c:v>
                </c:pt>
                <c:pt idx="45">
                  <c:v>291</c:v>
                </c:pt>
                <c:pt idx="46">
                  <c:v>301</c:v>
                </c:pt>
                <c:pt idx="47">
                  <c:v>320</c:v>
                </c:pt>
                <c:pt idx="48">
                  <c:v>340</c:v>
                </c:pt>
                <c:pt idx="49">
                  <c:v>360</c:v>
                </c:pt>
                <c:pt idx="50">
                  <c:v>380</c:v>
                </c:pt>
                <c:pt idx="51">
                  <c:v>400</c:v>
                </c:pt>
              </c:numCache>
            </c:numRef>
          </c:xVal>
          <c:yVal>
            <c:numRef>
              <c:f>'SWC Model Att'!$C$11:$C$67</c:f>
              <c:numCache>
                <c:formatCode>0.0000</c:formatCode>
                <c:ptCount val="57"/>
                <c:pt idx="0">
                  <c:v>0.50104911869004365</c:v>
                </c:pt>
                <c:pt idx="1">
                  <c:v>0.36084337267689343</c:v>
                </c:pt>
                <c:pt idx="2">
                  <c:v>0.27084710886512875</c:v>
                </c:pt>
                <c:pt idx="3">
                  <c:v>0.16690909693509509</c:v>
                </c:pt>
                <c:pt idx="4">
                  <c:v>0.11197350590362229</c:v>
                </c:pt>
                <c:pt idx="5">
                  <c:v>6.8480256376735771E-2</c:v>
                </c:pt>
                <c:pt idx="6">
                  <c:v>5.1927604780135354E-2</c:v>
                </c:pt>
                <c:pt idx="7">
                  <c:v>3.6245405573006644E-2</c:v>
                </c:pt>
                <c:pt idx="8">
                  <c:v>2.9358611302767366E-2</c:v>
                </c:pt>
                <c:pt idx="9">
                  <c:v>2.2139908184859662E-2</c:v>
                </c:pt>
                <c:pt idx="10">
                  <c:v>1.8687003280595513E-2</c:v>
                </c:pt>
                <c:pt idx="11">
                  <c:v>1.3795110578352275E-2</c:v>
                </c:pt>
                <c:pt idx="12">
                  <c:v>1.0577604110283838E-2</c:v>
                </c:pt>
                <c:pt idx="13">
                  <c:v>7.4943102128502961E-3</c:v>
                </c:pt>
                <c:pt idx="14">
                  <c:v>5.9262870414036996E-3</c:v>
                </c:pt>
                <c:pt idx="15">
                  <c:v>5.0807657910967958E-3</c:v>
                </c:pt>
                <c:pt idx="16">
                  <c:v>4.4220792833391462E-3</c:v>
                </c:pt>
                <c:pt idx="17">
                  <c:v>3.8965990437850079E-3</c:v>
                </c:pt>
                <c:pt idx="18">
                  <c:v>3.4689809134739913E-3</c:v>
                </c:pt>
                <c:pt idx="19">
                  <c:v>3.1150963757602514E-3</c:v>
                </c:pt>
                <c:pt idx="20">
                  <c:v>2.8179758163453805E-3</c:v>
                </c:pt>
                <c:pt idx="21">
                  <c:v>2.5653761354384923E-3</c:v>
                </c:pt>
                <c:pt idx="22">
                  <c:v>2.3482668283119519E-3</c:v>
                </c:pt>
                <c:pt idx="23">
                  <c:v>2.159856859259885E-3</c:v>
                </c:pt>
                <c:pt idx="24">
                  <c:v>1.9949513157107549E-3</c:v>
                </c:pt>
                <c:pt idx="25">
                  <c:v>1.8495154281369284E-3</c:v>
                </c:pt>
                <c:pt idx="26">
                  <c:v>1.7450271257633161E-3</c:v>
                </c:pt>
                <c:pt idx="27">
                  <c:v>1.5013298232630396E-3</c:v>
                </c:pt>
                <c:pt idx="28">
                  <c:v>1.3228214025637823E-3</c:v>
                </c:pt>
                <c:pt idx="29">
                  <c:v>1.1747536148543397E-3</c:v>
                </c:pt>
                <c:pt idx="30">
                  <c:v>1.0501047403498227E-3</c:v>
                </c:pt>
                <c:pt idx="31">
                  <c:v>9.4384930744052201E-4</c:v>
                </c:pt>
                <c:pt idx="32">
                  <c:v>8.5230126948302083E-4</c:v>
                </c:pt>
                <c:pt idx="33">
                  <c:v>7.726985141447636E-4</c:v>
                </c:pt>
                <c:pt idx="34">
                  <c:v>7.0293185636282186E-4</c:v>
                </c:pt>
                <c:pt idx="35">
                  <c:v>6.4136346855322914E-4</c:v>
                </c:pt>
                <c:pt idx="36">
                  <c:v>5.8670231868482076E-4</c:v>
                </c:pt>
                <c:pt idx="37">
                  <c:v>5.3791689895981776E-4</c:v>
                </c:pt>
                <c:pt idx="38">
                  <c:v>4.9417291694309781E-4</c:v>
                </c:pt>
                <c:pt idx="39">
                  <c:v>4.5478804612148881E-4</c:v>
                </c:pt>
                <c:pt idx="40">
                  <c:v>4.1919855469131146E-4</c:v>
                </c:pt>
                <c:pt idx="41">
                  <c:v>3.869343462354539E-4</c:v>
                </c:pt>
                <c:pt idx="42">
                  <c:v>3.5760005015082757E-4</c:v>
                </c:pt>
                <c:pt idx="43">
                  <c:v>3.3086052488816525E-4</c:v>
                </c:pt>
                <c:pt idx="44">
                  <c:v>3.064296220404653E-4</c:v>
                </c:pt>
                <c:pt idx="45">
                  <c:v>2.8406138906181792E-4</c:v>
                </c:pt>
                <c:pt idx="46">
                  <c:v>2.6354311604740425E-4</c:v>
                </c:pt>
                <c:pt idx="47">
                  <c:v>2.2901120656765089E-4</c:v>
                </c:pt>
                <c:pt idx="48">
                  <c:v>1.9802002093839645E-4</c:v>
                </c:pt>
                <c:pt idx="49">
                  <c:v>1.7158092303775854E-4</c:v>
                </c:pt>
                <c:pt idx="50">
                  <c:v>1.4893301841287202E-4</c:v>
                </c:pt>
                <c:pt idx="51">
                  <c:v>1.2946633897091691E-4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3A-4FC9-B3FF-31279B6C9E67}"/>
            </c:ext>
          </c:extLst>
        </c:ser>
        <c:ser>
          <c:idx val="1"/>
          <c:order val="1"/>
          <c:tx>
            <c:v>Mw=5</c:v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'SWC Model Att'!$B$11:$B$67</c:f>
              <c:numCache>
                <c:formatCode>General</c:formatCode>
                <c:ptCount val="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15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30</c:v>
                </c:pt>
                <c:pt idx="13">
                  <c:v>36</c:v>
                </c:pt>
                <c:pt idx="14">
                  <c:v>41</c:v>
                </c:pt>
                <c:pt idx="15">
                  <c:v>46</c:v>
                </c:pt>
                <c:pt idx="16">
                  <c:v>51</c:v>
                </c:pt>
                <c:pt idx="17">
                  <c:v>56</c:v>
                </c:pt>
                <c:pt idx="18">
                  <c:v>61</c:v>
                </c:pt>
                <c:pt idx="19">
                  <c:v>66</c:v>
                </c:pt>
                <c:pt idx="20">
                  <c:v>71</c:v>
                </c:pt>
                <c:pt idx="21">
                  <c:v>76</c:v>
                </c:pt>
                <c:pt idx="22">
                  <c:v>81</c:v>
                </c:pt>
                <c:pt idx="23">
                  <c:v>86</c:v>
                </c:pt>
                <c:pt idx="24">
                  <c:v>91</c:v>
                </c:pt>
                <c:pt idx="25">
                  <c:v>96</c:v>
                </c:pt>
                <c:pt idx="26">
                  <c:v>100</c:v>
                </c:pt>
                <c:pt idx="27">
                  <c:v>111</c:v>
                </c:pt>
                <c:pt idx="28">
                  <c:v>121</c:v>
                </c:pt>
                <c:pt idx="29">
                  <c:v>131</c:v>
                </c:pt>
                <c:pt idx="30">
                  <c:v>141</c:v>
                </c:pt>
                <c:pt idx="31">
                  <c:v>151</c:v>
                </c:pt>
                <c:pt idx="32">
                  <c:v>161</c:v>
                </c:pt>
                <c:pt idx="33">
                  <c:v>171</c:v>
                </c:pt>
                <c:pt idx="34">
                  <c:v>181</c:v>
                </c:pt>
                <c:pt idx="35">
                  <c:v>191</c:v>
                </c:pt>
                <c:pt idx="36">
                  <c:v>201</c:v>
                </c:pt>
                <c:pt idx="37">
                  <c:v>211</c:v>
                </c:pt>
                <c:pt idx="38">
                  <c:v>221</c:v>
                </c:pt>
                <c:pt idx="39">
                  <c:v>231</c:v>
                </c:pt>
                <c:pt idx="40">
                  <c:v>241</c:v>
                </c:pt>
                <c:pt idx="41">
                  <c:v>251</c:v>
                </c:pt>
                <c:pt idx="42">
                  <c:v>261</c:v>
                </c:pt>
                <c:pt idx="43">
                  <c:v>271</c:v>
                </c:pt>
                <c:pt idx="44">
                  <c:v>281</c:v>
                </c:pt>
                <c:pt idx="45">
                  <c:v>291</c:v>
                </c:pt>
                <c:pt idx="46">
                  <c:v>301</c:v>
                </c:pt>
                <c:pt idx="47">
                  <c:v>320</c:v>
                </c:pt>
                <c:pt idx="48">
                  <c:v>340</c:v>
                </c:pt>
                <c:pt idx="49">
                  <c:v>360</c:v>
                </c:pt>
                <c:pt idx="50">
                  <c:v>380</c:v>
                </c:pt>
                <c:pt idx="51">
                  <c:v>400</c:v>
                </c:pt>
              </c:numCache>
            </c:numRef>
          </c:xVal>
          <c:yVal>
            <c:numRef>
              <c:f>'SWC Model Att'!$D$11:$D$67</c:f>
              <c:numCache>
                <c:formatCode>0.0000</c:formatCode>
                <c:ptCount val="57"/>
                <c:pt idx="0">
                  <c:v>0.62658523273441979</c:v>
                </c:pt>
                <c:pt idx="1">
                  <c:v>0.4898824293418565</c:v>
                </c:pt>
                <c:pt idx="2">
                  <c:v>0.39250207852491065</c:v>
                </c:pt>
                <c:pt idx="3">
                  <c:v>0.26669119054385981</c:v>
                </c:pt>
                <c:pt idx="4">
                  <c:v>0.19186850301238073</c:v>
                </c:pt>
                <c:pt idx="5">
                  <c:v>0.12639696842073619</c:v>
                </c:pt>
                <c:pt idx="6">
                  <c:v>9.9418569858086628E-2</c:v>
                </c:pt>
                <c:pt idx="7">
                  <c:v>7.2400908863312047E-2</c:v>
                </c:pt>
                <c:pt idx="8">
                  <c:v>5.9969193802760355E-2</c:v>
                </c:pt>
                <c:pt idx="9">
                  <c:v>4.6471410178502648E-2</c:v>
                </c:pt>
                <c:pt idx="10">
                  <c:v>3.9814644305687361E-2</c:v>
                </c:pt>
                <c:pt idx="11">
                  <c:v>3.0116133559806472E-2</c:v>
                </c:pt>
                <c:pt idx="12">
                  <c:v>2.3533645758313015E-2</c:v>
                </c:pt>
                <c:pt idx="13">
                  <c:v>1.7038471774887744E-2</c:v>
                </c:pt>
                <c:pt idx="14">
                  <c:v>1.3651014208750166E-2</c:v>
                </c:pt>
                <c:pt idx="15">
                  <c:v>1.1797642030495777E-2</c:v>
                </c:pt>
                <c:pt idx="16">
                  <c:v>1.0336345873825505E-2</c:v>
                </c:pt>
                <c:pt idx="17">
                  <c:v>9.158789928487383E-3</c:v>
                </c:pt>
                <c:pt idx="18">
                  <c:v>8.192316995532618E-3</c:v>
                </c:pt>
                <c:pt idx="19">
                  <c:v>7.3865907855832809E-3</c:v>
                </c:pt>
                <c:pt idx="20">
                  <c:v>6.7057619018559911E-3</c:v>
                </c:pt>
                <c:pt idx="21">
                  <c:v>6.1236833359631943E-3</c:v>
                </c:pt>
                <c:pt idx="22">
                  <c:v>5.6208850327690713E-3</c:v>
                </c:pt>
                <c:pt idx="23">
                  <c:v>5.1826021940260406E-3</c:v>
                </c:pt>
                <c:pt idx="24">
                  <c:v>4.7974558921135549E-3</c:v>
                </c:pt>
                <c:pt idx="25">
                  <c:v>4.4565493203504751E-3</c:v>
                </c:pt>
                <c:pt idx="26">
                  <c:v>4.2108913004778557E-3</c:v>
                </c:pt>
                <c:pt idx="27">
                  <c:v>3.6354728077946422E-3</c:v>
                </c:pt>
                <c:pt idx="28">
                  <c:v>3.2116920592108016E-3</c:v>
                </c:pt>
                <c:pt idx="29">
                  <c:v>2.8586416891689774E-3</c:v>
                </c:pt>
                <c:pt idx="30">
                  <c:v>2.5603088799484924E-3</c:v>
                </c:pt>
                <c:pt idx="31">
                  <c:v>2.3051610508360194E-3</c:v>
                </c:pt>
                <c:pt idx="32">
                  <c:v>2.0846927662336069E-3</c:v>
                </c:pt>
                <c:pt idx="33">
                  <c:v>1.8924994600274829E-3</c:v>
                </c:pt>
                <c:pt idx="34">
                  <c:v>1.7236692008022166E-3</c:v>
                </c:pt>
                <c:pt idx="35">
                  <c:v>1.5743727702590561E-3</c:v>
                </c:pt>
                <c:pt idx="36">
                  <c:v>1.4415809647437396E-3</c:v>
                </c:pt>
                <c:pt idx="37">
                  <c:v>1.3228655958302138E-3</c:v>
                </c:pt>
                <c:pt idx="38">
                  <c:v>1.2162568078608708E-3</c:v>
                </c:pt>
                <c:pt idx="39">
                  <c:v>1.1201390613357306E-3</c:v>
                </c:pt>
                <c:pt idx="40">
                  <c:v>1.0331741519948941E-3</c:v>
                </c:pt>
                <c:pt idx="41">
                  <c:v>9.54243449300385E-4</c:v>
                </c:pt>
                <c:pt idx="42">
                  <c:v>8.8240400576725477E-4</c:v>
                </c:pt>
                <c:pt idx="43">
                  <c:v>8.1685481655430442E-4</c:v>
                </c:pt>
                <c:pt idx="44">
                  <c:v>7.5691060186651254E-4</c:v>
                </c:pt>
                <c:pt idx="45">
                  <c:v>7.0198123077065309E-4</c:v>
                </c:pt>
                <c:pt idx="46">
                  <c:v>6.5155542187144658E-4</c:v>
                </c:pt>
                <c:pt idx="47">
                  <c:v>5.6660303097019781E-4</c:v>
                </c:pt>
                <c:pt idx="48">
                  <c:v>4.9026649669283535E-4</c:v>
                </c:pt>
                <c:pt idx="49">
                  <c:v>4.2506951326888576E-4</c:v>
                </c:pt>
                <c:pt idx="50">
                  <c:v>3.6916611571650803E-4</c:v>
                </c:pt>
                <c:pt idx="51">
                  <c:v>3.2107298525904735E-4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3A-4FC9-B3FF-31279B6C9E67}"/>
            </c:ext>
          </c:extLst>
        </c:ser>
        <c:ser>
          <c:idx val="2"/>
          <c:order val="2"/>
          <c:tx>
            <c:v>Mw=6</c:v>
          </c:tx>
          <c:spPr>
            <a:ln w="158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'SWC Model Att'!$B$11:$B$67</c:f>
              <c:numCache>
                <c:formatCode>General</c:formatCode>
                <c:ptCount val="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15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30</c:v>
                </c:pt>
                <c:pt idx="13">
                  <c:v>36</c:v>
                </c:pt>
                <c:pt idx="14">
                  <c:v>41</c:v>
                </c:pt>
                <c:pt idx="15">
                  <c:v>46</c:v>
                </c:pt>
                <c:pt idx="16">
                  <c:v>51</c:v>
                </c:pt>
                <c:pt idx="17">
                  <c:v>56</c:v>
                </c:pt>
                <c:pt idx="18">
                  <c:v>61</c:v>
                </c:pt>
                <c:pt idx="19">
                  <c:v>66</c:v>
                </c:pt>
                <c:pt idx="20">
                  <c:v>71</c:v>
                </c:pt>
                <c:pt idx="21">
                  <c:v>76</c:v>
                </c:pt>
                <c:pt idx="22">
                  <c:v>81</c:v>
                </c:pt>
                <c:pt idx="23">
                  <c:v>86</c:v>
                </c:pt>
                <c:pt idx="24">
                  <c:v>91</c:v>
                </c:pt>
                <c:pt idx="25">
                  <c:v>96</c:v>
                </c:pt>
                <c:pt idx="26">
                  <c:v>100</c:v>
                </c:pt>
                <c:pt idx="27">
                  <c:v>111</c:v>
                </c:pt>
                <c:pt idx="28">
                  <c:v>121</c:v>
                </c:pt>
                <c:pt idx="29">
                  <c:v>131</c:v>
                </c:pt>
                <c:pt idx="30">
                  <c:v>141</c:v>
                </c:pt>
                <c:pt idx="31">
                  <c:v>151</c:v>
                </c:pt>
                <c:pt idx="32">
                  <c:v>161</c:v>
                </c:pt>
                <c:pt idx="33">
                  <c:v>171</c:v>
                </c:pt>
                <c:pt idx="34">
                  <c:v>181</c:v>
                </c:pt>
                <c:pt idx="35">
                  <c:v>191</c:v>
                </c:pt>
                <c:pt idx="36">
                  <c:v>201</c:v>
                </c:pt>
                <c:pt idx="37">
                  <c:v>211</c:v>
                </c:pt>
                <c:pt idx="38">
                  <c:v>221</c:v>
                </c:pt>
                <c:pt idx="39">
                  <c:v>231</c:v>
                </c:pt>
                <c:pt idx="40">
                  <c:v>241</c:v>
                </c:pt>
                <c:pt idx="41">
                  <c:v>251</c:v>
                </c:pt>
                <c:pt idx="42">
                  <c:v>261</c:v>
                </c:pt>
                <c:pt idx="43">
                  <c:v>271</c:v>
                </c:pt>
                <c:pt idx="44">
                  <c:v>281</c:v>
                </c:pt>
                <c:pt idx="45">
                  <c:v>291</c:v>
                </c:pt>
                <c:pt idx="46">
                  <c:v>301</c:v>
                </c:pt>
                <c:pt idx="47">
                  <c:v>320</c:v>
                </c:pt>
                <c:pt idx="48">
                  <c:v>340</c:v>
                </c:pt>
                <c:pt idx="49">
                  <c:v>360</c:v>
                </c:pt>
                <c:pt idx="50">
                  <c:v>380</c:v>
                </c:pt>
                <c:pt idx="51">
                  <c:v>400</c:v>
                </c:pt>
              </c:numCache>
            </c:numRef>
          </c:xVal>
          <c:yVal>
            <c:numRef>
              <c:f>'SWC Model Att'!$E$11:$E$67</c:f>
              <c:numCache>
                <c:formatCode>0.0000</c:formatCode>
                <c:ptCount val="57"/>
                <c:pt idx="0">
                  <c:v>0.73106997127217288</c:v>
                </c:pt>
                <c:pt idx="1">
                  <c:v>0.6304184686602563</c:v>
                </c:pt>
                <c:pt idx="2">
                  <c:v>0.54886925334803904</c:v>
                </c:pt>
                <c:pt idx="3">
                  <c:v>0.4263111908939497</c:v>
                </c:pt>
                <c:pt idx="4">
                  <c:v>0.34011392020144887</c:v>
                </c:pt>
                <c:pt idx="5">
                  <c:v>0.25212036472768912</c:v>
                </c:pt>
                <c:pt idx="6">
                  <c:v>0.21092003128961445</c:v>
                </c:pt>
                <c:pt idx="7">
                  <c:v>0.16554288236314488</c:v>
                </c:pt>
                <c:pt idx="8">
                  <c:v>0.14286874822590226</c:v>
                </c:pt>
                <c:pt idx="9">
                  <c:v>0.11659262612465406</c:v>
                </c:pt>
                <c:pt idx="10">
                  <c:v>0.10286087816645773</c:v>
                </c:pt>
                <c:pt idx="11">
                  <c:v>8.1718816284961179E-2</c:v>
                </c:pt>
                <c:pt idx="12">
                  <c:v>6.6427454760758523E-2</c:v>
                </c:pt>
                <c:pt idx="13">
                  <c:v>5.0381322137346661E-2</c:v>
                </c:pt>
                <c:pt idx="14">
                  <c:v>4.1546296166553379E-2</c:v>
                </c:pt>
                <c:pt idx="15">
                  <c:v>3.6558016266006216E-2</c:v>
                </c:pt>
                <c:pt idx="16">
                  <c:v>3.2516408184654517E-2</c:v>
                </c:pt>
                <c:pt idx="17">
                  <c:v>2.9183412035209275E-2</c:v>
                </c:pt>
                <c:pt idx="18">
                  <c:v>2.6392950277238474E-2</c:v>
                </c:pt>
                <c:pt idx="19">
                  <c:v>2.4026024451699234E-2</c:v>
                </c:pt>
                <c:pt idx="20">
                  <c:v>2.1995379209346799E-2</c:v>
                </c:pt>
                <c:pt idx="21">
                  <c:v>2.0235733819753361E-2</c:v>
                </c:pt>
                <c:pt idx="22">
                  <c:v>1.8697374768337237E-2</c:v>
                </c:pt>
                <c:pt idx="23">
                  <c:v>1.7341843425131589E-2</c:v>
                </c:pt>
                <c:pt idx="24">
                  <c:v>1.6138966915236998E-2</c:v>
                </c:pt>
                <c:pt idx="25">
                  <c:v>1.506477191114698E-2</c:v>
                </c:pt>
                <c:pt idx="26">
                  <c:v>1.4284990660546858E-2</c:v>
                </c:pt>
                <c:pt idx="27">
                  <c:v>1.243891380960665E-2</c:v>
                </c:pt>
                <c:pt idx="28">
                  <c:v>1.1060946087088476E-2</c:v>
                </c:pt>
                <c:pt idx="29">
                  <c:v>9.9004003011916534E-3</c:v>
                </c:pt>
                <c:pt idx="30">
                  <c:v>8.9104094785982021E-3</c:v>
                </c:pt>
                <c:pt idx="31">
                  <c:v>8.0566860390791552E-3</c:v>
                </c:pt>
                <c:pt idx="32">
                  <c:v>7.313590840009856E-3</c:v>
                </c:pt>
                <c:pt idx="33">
                  <c:v>6.661579010347171E-3</c:v>
                </c:pt>
                <c:pt idx="34">
                  <c:v>6.085494398840585E-3</c:v>
                </c:pt>
                <c:pt idx="35">
                  <c:v>5.5734029226885799E-3</c:v>
                </c:pt>
                <c:pt idx="36">
                  <c:v>5.1157772760217291E-3</c:v>
                </c:pt>
                <c:pt idx="37">
                  <c:v>4.7049161600125943E-3</c:v>
                </c:pt>
                <c:pt idx="38">
                  <c:v>4.3345233735748133E-3</c:v>
                </c:pt>
                <c:pt idx="39">
                  <c:v>3.9993979561939548E-3</c:v>
                </c:pt>
                <c:pt idx="40">
                  <c:v>3.695202812252676E-3</c:v>
                </c:pt>
                <c:pt idx="41">
                  <c:v>3.4182896726241857E-3</c:v>
                </c:pt>
                <c:pt idx="42">
                  <c:v>3.1655650797982036E-3</c:v>
                </c:pt>
                <c:pt idx="43">
                  <c:v>2.9343866402305675E-3</c:v>
                </c:pt>
                <c:pt idx="44">
                  <c:v>2.7224818798670851E-3</c:v>
                </c:pt>
                <c:pt idx="45">
                  <c:v>2.5278841695626198E-3</c:v>
                </c:pt>
                <c:pt idx="46">
                  <c:v>2.3488816764327832E-3</c:v>
                </c:pt>
                <c:pt idx="47">
                  <c:v>2.0465224691007733E-3</c:v>
                </c:pt>
                <c:pt idx="48">
                  <c:v>1.7739573456536201E-3</c:v>
                </c:pt>
                <c:pt idx="49">
                  <c:v>1.5404928490376139E-3</c:v>
                </c:pt>
                <c:pt idx="50">
                  <c:v>1.3397963417774762E-3</c:v>
                </c:pt>
                <c:pt idx="51">
                  <c:v>1.1667475260259694E-3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3A-4FC9-B3FF-31279B6C9E67}"/>
            </c:ext>
          </c:extLst>
        </c:ser>
        <c:ser>
          <c:idx val="3"/>
          <c:order val="3"/>
          <c:tx>
            <c:v>Mw=7</c:v>
          </c:tx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'SWC Model Att'!$B$11:$B$67</c:f>
              <c:numCache>
                <c:formatCode>General</c:formatCode>
                <c:ptCount val="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15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30</c:v>
                </c:pt>
                <c:pt idx="13">
                  <c:v>36</c:v>
                </c:pt>
                <c:pt idx="14">
                  <c:v>41</c:v>
                </c:pt>
                <c:pt idx="15">
                  <c:v>46</c:v>
                </c:pt>
                <c:pt idx="16">
                  <c:v>51</c:v>
                </c:pt>
                <c:pt idx="17">
                  <c:v>56</c:v>
                </c:pt>
                <c:pt idx="18">
                  <c:v>61</c:v>
                </c:pt>
                <c:pt idx="19">
                  <c:v>66</c:v>
                </c:pt>
                <c:pt idx="20">
                  <c:v>71</c:v>
                </c:pt>
                <c:pt idx="21">
                  <c:v>76</c:v>
                </c:pt>
                <c:pt idx="22">
                  <c:v>81</c:v>
                </c:pt>
                <c:pt idx="23">
                  <c:v>86</c:v>
                </c:pt>
                <c:pt idx="24">
                  <c:v>91</c:v>
                </c:pt>
                <c:pt idx="25">
                  <c:v>96</c:v>
                </c:pt>
                <c:pt idx="26">
                  <c:v>100</c:v>
                </c:pt>
                <c:pt idx="27">
                  <c:v>111</c:v>
                </c:pt>
                <c:pt idx="28">
                  <c:v>121</c:v>
                </c:pt>
                <c:pt idx="29">
                  <c:v>131</c:v>
                </c:pt>
                <c:pt idx="30">
                  <c:v>141</c:v>
                </c:pt>
                <c:pt idx="31">
                  <c:v>151</c:v>
                </c:pt>
                <c:pt idx="32">
                  <c:v>161</c:v>
                </c:pt>
                <c:pt idx="33">
                  <c:v>171</c:v>
                </c:pt>
                <c:pt idx="34">
                  <c:v>181</c:v>
                </c:pt>
                <c:pt idx="35">
                  <c:v>191</c:v>
                </c:pt>
                <c:pt idx="36">
                  <c:v>201</c:v>
                </c:pt>
                <c:pt idx="37">
                  <c:v>211</c:v>
                </c:pt>
                <c:pt idx="38">
                  <c:v>221</c:v>
                </c:pt>
                <c:pt idx="39">
                  <c:v>231</c:v>
                </c:pt>
                <c:pt idx="40">
                  <c:v>241</c:v>
                </c:pt>
                <c:pt idx="41">
                  <c:v>251</c:v>
                </c:pt>
                <c:pt idx="42">
                  <c:v>261</c:v>
                </c:pt>
                <c:pt idx="43">
                  <c:v>271</c:v>
                </c:pt>
                <c:pt idx="44">
                  <c:v>281</c:v>
                </c:pt>
                <c:pt idx="45">
                  <c:v>291</c:v>
                </c:pt>
                <c:pt idx="46">
                  <c:v>301</c:v>
                </c:pt>
                <c:pt idx="47">
                  <c:v>320</c:v>
                </c:pt>
                <c:pt idx="48">
                  <c:v>340</c:v>
                </c:pt>
                <c:pt idx="49">
                  <c:v>360</c:v>
                </c:pt>
                <c:pt idx="50">
                  <c:v>380</c:v>
                </c:pt>
                <c:pt idx="51">
                  <c:v>400</c:v>
                </c:pt>
              </c:numCache>
            </c:numRef>
          </c:xVal>
          <c:yVal>
            <c:numRef>
              <c:f>'SWC Model Att'!$F$11:$F$67</c:f>
              <c:numCache>
                <c:formatCode>0.0000</c:formatCode>
                <c:ptCount val="57"/>
                <c:pt idx="0">
                  <c:v>0.81819082604861404</c:v>
                </c:pt>
                <c:pt idx="1">
                  <c:v>0.76263820955924022</c:v>
                </c:pt>
                <c:pt idx="2">
                  <c:v>0.71258826123689112</c:v>
                </c:pt>
                <c:pt idx="3">
                  <c:v>0.626290137158931</c:v>
                </c:pt>
                <c:pt idx="4">
                  <c:v>0.55485879495595725</c:v>
                </c:pt>
                <c:pt idx="5">
                  <c:v>0.46874843394412663</c:v>
                </c:pt>
                <c:pt idx="6">
                  <c:v>0.42208952478748923</c:v>
                </c:pt>
                <c:pt idx="7">
                  <c:v>0.36423471458138751</c:v>
                </c:pt>
                <c:pt idx="8">
                  <c:v>0.33207369729369984</c:v>
                </c:pt>
                <c:pt idx="9">
                  <c:v>0.29131422115458633</c:v>
                </c:pt>
                <c:pt idx="10">
                  <c:v>0.26819717469343507</c:v>
                </c:pt>
                <c:pt idx="11">
                  <c:v>0.22955019676055127</c:v>
                </c:pt>
                <c:pt idx="12">
                  <c:v>0.19872176006934308</c:v>
                </c:pt>
                <c:pt idx="13">
                  <c:v>0.16296003415525981</c:v>
                </c:pt>
                <c:pt idx="14">
                  <c:v>0.14139340423529811</c:v>
                </c:pt>
                <c:pt idx="15">
                  <c:v>0.12857778467545411</c:v>
                </c:pt>
                <c:pt idx="16">
                  <c:v>0.11765397241092977</c:v>
                </c:pt>
                <c:pt idx="17">
                  <c:v>0.10823725646238071</c:v>
                </c:pt>
                <c:pt idx="18">
                  <c:v>0.10003909731493495</c:v>
                </c:pt>
                <c:pt idx="19">
                  <c:v>9.2839213936790621E-2</c:v>
                </c:pt>
                <c:pt idx="20">
                  <c:v>8.6466772921284726E-2</c:v>
                </c:pt>
                <c:pt idx="21">
                  <c:v>8.0787417607913914E-2</c:v>
                </c:pt>
                <c:pt idx="22">
                  <c:v>7.5694139742417191E-2</c:v>
                </c:pt>
                <c:pt idx="23">
                  <c:v>7.1100736853893065E-2</c:v>
                </c:pt>
                <c:pt idx="24">
                  <c:v>6.6937045048540089E-2</c:v>
                </c:pt>
                <c:pt idx="25">
                  <c:v>6.3145413239164824E-2</c:v>
                </c:pt>
                <c:pt idx="26">
                  <c:v>6.0347604011902048E-2</c:v>
                </c:pt>
                <c:pt idx="27">
                  <c:v>5.3562837814719849E-2</c:v>
                </c:pt>
                <c:pt idx="28">
                  <c:v>4.834099326830666E-2</c:v>
                </c:pt>
                <c:pt idx="29">
                  <c:v>4.3830789606893371E-2</c:v>
                </c:pt>
                <c:pt idx="30">
                  <c:v>3.9897210650337751E-2</c:v>
                </c:pt>
                <c:pt idx="31">
                  <c:v>3.6437880274782092E-2</c:v>
                </c:pt>
                <c:pt idx="32">
                  <c:v>3.3373754933117596E-2</c:v>
                </c:pt>
                <c:pt idx="33">
                  <c:v>3.0642812506002912E-2</c:v>
                </c:pt>
                <c:pt idx="34">
                  <c:v>2.8195675387230387E-2</c:v>
                </c:pt>
                <c:pt idx="35">
                  <c:v>2.5992513429607827E-2</c:v>
                </c:pt>
                <c:pt idx="36">
                  <c:v>2.400081264723837E-2</c:v>
                </c:pt>
                <c:pt idx="37">
                  <c:v>2.2193741272493364E-2</c:v>
                </c:pt>
                <c:pt idx="38">
                  <c:v>2.054893541729038E-2</c:v>
                </c:pt>
                <c:pt idx="39">
                  <c:v>1.9047584307750422E-2</c:v>
                </c:pt>
                <c:pt idx="40">
                  <c:v>1.7673732590421629E-2</c:v>
                </c:pt>
                <c:pt idx="41">
                  <c:v>1.6413742079519008E-2</c:v>
                </c:pt>
                <c:pt idx="42">
                  <c:v>1.5255872087247484E-2</c:v>
                </c:pt>
                <c:pt idx="43">
                  <c:v>1.4189948972886441E-2</c:v>
                </c:pt>
                <c:pt idx="44">
                  <c:v>1.3207103539415068E-2</c:v>
                </c:pt>
                <c:pt idx="45">
                  <c:v>1.2299560541451031E-2</c:v>
                </c:pt>
                <c:pt idx="46">
                  <c:v>1.146046859133238E-2</c:v>
                </c:pt>
                <c:pt idx="47">
                  <c:v>1.003359391667269E-2</c:v>
                </c:pt>
                <c:pt idx="48">
                  <c:v>8.736748506196183E-3</c:v>
                </c:pt>
                <c:pt idx="49">
                  <c:v>7.6176749570156833E-3</c:v>
                </c:pt>
                <c:pt idx="50">
                  <c:v>6.6493375302792172E-3</c:v>
                </c:pt>
                <c:pt idx="51">
                  <c:v>5.8095102867509142E-3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3A-4FC9-B3FF-31279B6C9E67}"/>
            </c:ext>
          </c:extLst>
        </c:ser>
        <c:ser>
          <c:idx val="4"/>
          <c:order val="4"/>
          <c:tx>
            <c:v>Mw = 8</c:v>
          </c:tx>
          <c:spPr>
            <a:ln w="254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'SWC Model Att'!$B$11:$B$62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15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30</c:v>
                </c:pt>
                <c:pt idx="13">
                  <c:v>36</c:v>
                </c:pt>
                <c:pt idx="14">
                  <c:v>41</c:v>
                </c:pt>
                <c:pt idx="15">
                  <c:v>46</c:v>
                </c:pt>
                <c:pt idx="16">
                  <c:v>51</c:v>
                </c:pt>
                <c:pt idx="17">
                  <c:v>56</c:v>
                </c:pt>
                <c:pt idx="18">
                  <c:v>61</c:v>
                </c:pt>
                <c:pt idx="19">
                  <c:v>66</c:v>
                </c:pt>
                <c:pt idx="20">
                  <c:v>71</c:v>
                </c:pt>
                <c:pt idx="21">
                  <c:v>76</c:v>
                </c:pt>
                <c:pt idx="22">
                  <c:v>81</c:v>
                </c:pt>
                <c:pt idx="23">
                  <c:v>86</c:v>
                </c:pt>
                <c:pt idx="24">
                  <c:v>91</c:v>
                </c:pt>
                <c:pt idx="25">
                  <c:v>96</c:v>
                </c:pt>
                <c:pt idx="26">
                  <c:v>100</c:v>
                </c:pt>
                <c:pt idx="27">
                  <c:v>111</c:v>
                </c:pt>
                <c:pt idx="28">
                  <c:v>121</c:v>
                </c:pt>
                <c:pt idx="29">
                  <c:v>131</c:v>
                </c:pt>
                <c:pt idx="30">
                  <c:v>141</c:v>
                </c:pt>
                <c:pt idx="31">
                  <c:v>151</c:v>
                </c:pt>
                <c:pt idx="32">
                  <c:v>161</c:v>
                </c:pt>
                <c:pt idx="33">
                  <c:v>171</c:v>
                </c:pt>
                <c:pt idx="34">
                  <c:v>181</c:v>
                </c:pt>
                <c:pt idx="35">
                  <c:v>191</c:v>
                </c:pt>
                <c:pt idx="36">
                  <c:v>201</c:v>
                </c:pt>
                <c:pt idx="37">
                  <c:v>211</c:v>
                </c:pt>
                <c:pt idx="38">
                  <c:v>221</c:v>
                </c:pt>
                <c:pt idx="39">
                  <c:v>231</c:v>
                </c:pt>
                <c:pt idx="40">
                  <c:v>241</c:v>
                </c:pt>
                <c:pt idx="41">
                  <c:v>251</c:v>
                </c:pt>
                <c:pt idx="42">
                  <c:v>261</c:v>
                </c:pt>
                <c:pt idx="43">
                  <c:v>271</c:v>
                </c:pt>
                <c:pt idx="44">
                  <c:v>281</c:v>
                </c:pt>
                <c:pt idx="45">
                  <c:v>291</c:v>
                </c:pt>
                <c:pt idx="46">
                  <c:v>301</c:v>
                </c:pt>
                <c:pt idx="47">
                  <c:v>320</c:v>
                </c:pt>
                <c:pt idx="48">
                  <c:v>340</c:v>
                </c:pt>
                <c:pt idx="49">
                  <c:v>360</c:v>
                </c:pt>
                <c:pt idx="50">
                  <c:v>380</c:v>
                </c:pt>
                <c:pt idx="51">
                  <c:v>400</c:v>
                </c:pt>
              </c:numCache>
            </c:numRef>
          </c:xVal>
          <c:yVal>
            <c:numRef>
              <c:f>'SWC Model Att'!$G$11:$G$62</c:f>
              <c:numCache>
                <c:formatCode>0.0000</c:formatCode>
                <c:ptCount val="52"/>
                <c:pt idx="0">
                  <c:v>0.98440486105283853</c:v>
                </c:pt>
                <c:pt idx="1">
                  <c:v>0.92305057579465566</c:v>
                </c:pt>
                <c:pt idx="2">
                  <c:v>0.86731826222155595</c:v>
                </c:pt>
                <c:pt idx="3">
                  <c:v>0.77014284064139804</c:v>
                </c:pt>
                <c:pt idx="4">
                  <c:v>0.68859442749600275</c:v>
                </c:pt>
                <c:pt idx="5">
                  <c:v>0.58880919289442313</c:v>
                </c:pt>
                <c:pt idx="6">
                  <c:v>0.5339995973013707</c:v>
                </c:pt>
                <c:pt idx="7">
                  <c:v>0.46523989526872761</c:v>
                </c:pt>
                <c:pt idx="8">
                  <c:v>0.42660248057500749</c:v>
                </c:pt>
                <c:pt idx="9">
                  <c:v>0.37717085189589272</c:v>
                </c:pt>
                <c:pt idx="10">
                  <c:v>0.34888747719409546</c:v>
                </c:pt>
                <c:pt idx="11">
                  <c:v>0.30116662196462501</c:v>
                </c:pt>
                <c:pt idx="12">
                  <c:v>0.2626714970403185</c:v>
                </c:pt>
                <c:pt idx="13">
                  <c:v>0.21748071159683685</c:v>
                </c:pt>
                <c:pt idx="14">
                  <c:v>0.18992583572057278</c:v>
                </c:pt>
                <c:pt idx="15">
                  <c:v>0.1734555682929837</c:v>
                </c:pt>
                <c:pt idx="16">
                  <c:v>0.15932310041628586</c:v>
                </c:pt>
                <c:pt idx="17">
                  <c:v>0.14706792663633647</c:v>
                </c:pt>
                <c:pt idx="18">
                  <c:v>0.13634148042297042</c:v>
                </c:pt>
                <c:pt idx="19">
                  <c:v>0.12687547232668886</c:v>
                </c:pt>
                <c:pt idx="20">
                  <c:v>0.11846030640849231</c:v>
                </c:pt>
                <c:pt idx="21">
                  <c:v>0.11093004430570498</c:v>
                </c:pt>
                <c:pt idx="22">
                  <c:v>0.10415172582466968</c:v>
                </c:pt>
                <c:pt idx="23">
                  <c:v>9.8017650702698397E-2</c:v>
                </c:pt>
                <c:pt idx="24">
                  <c:v>9.2439712134052429E-2</c:v>
                </c:pt>
                <c:pt idx="25">
                  <c:v>8.7345176868841412E-2</c:v>
                </c:pt>
                <c:pt idx="26">
                  <c:v>8.3576569416466948E-2</c:v>
                </c:pt>
                <c:pt idx="27">
                  <c:v>7.4403474861354665E-2</c:v>
                </c:pt>
                <c:pt idx="28">
                  <c:v>6.7309481018367853E-2</c:v>
                </c:pt>
                <c:pt idx="29">
                  <c:v>6.1157574707664052E-2</c:v>
                </c:pt>
                <c:pt idx="30">
                  <c:v>5.5772907976271983E-2</c:v>
                </c:pt>
                <c:pt idx="31">
                  <c:v>5.1022185378953783E-2</c:v>
                </c:pt>
                <c:pt idx="32">
                  <c:v>4.6801985399181519E-2</c:v>
                </c:pt>
                <c:pt idx="33">
                  <c:v>4.3030792275326399E-2</c:v>
                </c:pt>
                <c:pt idx="34">
                  <c:v>3.9643439110636142E-2</c:v>
                </c:pt>
                <c:pt idx="35">
                  <c:v>3.6587156121350009E-2</c:v>
                </c:pt>
                <c:pt idx="36">
                  <c:v>3.3818710585205372E-2</c:v>
                </c:pt>
                <c:pt idx="37">
                  <c:v>3.1302303764168662E-2</c:v>
                </c:pt>
                <c:pt idx="38">
                  <c:v>2.9008001950810526E-2</c:v>
                </c:pt>
                <c:pt idx="39">
                  <c:v>2.6910550422217992E-2</c:v>
                </c:pt>
                <c:pt idx="40">
                  <c:v>2.4988465902143042E-2</c:v>
                </c:pt>
                <c:pt idx="41">
                  <c:v>2.3223334305591099E-2</c:v>
                </c:pt>
                <c:pt idx="42">
                  <c:v>2.1599261654776426E-2</c:v>
                </c:pt>
                <c:pt idx="43">
                  <c:v>2.0102440583093049E-2</c:v>
                </c:pt>
                <c:pt idx="44">
                  <c:v>1.8720804984934288E-2</c:v>
                </c:pt>
                <c:pt idx="45">
                  <c:v>1.7443752543603981E-2</c:v>
                </c:pt>
                <c:pt idx="46">
                  <c:v>1.6261920008439963E-2</c:v>
                </c:pt>
                <c:pt idx="47">
                  <c:v>1.4249746831229669E-2</c:v>
                </c:pt>
                <c:pt idx="48">
                  <c:v>1.2418187576263399E-2</c:v>
                </c:pt>
                <c:pt idx="49">
                  <c:v>1.0835536352067198E-2</c:v>
                </c:pt>
                <c:pt idx="50">
                  <c:v>9.4644016834100429E-3</c:v>
                </c:pt>
                <c:pt idx="51">
                  <c:v>8.2739476595617024E-3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85-4C85-AAA0-832E4268E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360624"/>
        <c:axId val="778361184"/>
      </c:scatterChart>
      <c:valAx>
        <c:axId val="778360624"/>
        <c:scaling>
          <c:logBase val="10"/>
          <c:orientation val="minMax"/>
          <c:max val="40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Source distance(km)</a:t>
                </a:r>
                <a:endParaRPr lang="zh-CN" altLang="en-US" sz="12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778361184"/>
        <c:crossesAt val="1.0000000000000005E-8"/>
        <c:crossBetween val="midCat"/>
      </c:valAx>
      <c:valAx>
        <c:axId val="778361184"/>
        <c:scaling>
          <c:logBase val="10"/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PGA(g)</a:t>
                </a:r>
                <a:endParaRPr lang="zh-CN" alt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7783606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7464830917874397"/>
          <c:y val="0.52053504956864749"/>
          <c:w val="0.21540707706453163"/>
          <c:h val="0.30439452299192671"/>
        </c:manualLayout>
      </c:layout>
      <c:overlay val="0"/>
      <c:spPr>
        <a:solidFill>
          <a:schemeClr val="l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38212560386473"/>
          <c:y val="4.6296296296296294E-2"/>
          <c:w val="0.78920483091787452"/>
          <c:h val="0.78607758558868668"/>
        </c:manualLayout>
      </c:layout>
      <c:scatterChart>
        <c:scatterStyle val="smoothMarker"/>
        <c:varyColors val="0"/>
        <c:ser>
          <c:idx val="0"/>
          <c:order val="0"/>
          <c:tx>
            <c:v>Dist.= 2 km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'SWC Model Att'!$N$11:$N$31</c:f>
              <c:numCache>
                <c:formatCode>General</c:formatCode>
                <c:ptCount val="21"/>
                <c:pt idx="0">
                  <c:v>3.5</c:v>
                </c:pt>
                <c:pt idx="1">
                  <c:v>3.75</c:v>
                </c:pt>
                <c:pt idx="2">
                  <c:v>4</c:v>
                </c:pt>
                <c:pt idx="3">
                  <c:v>4.25</c:v>
                </c:pt>
                <c:pt idx="4">
                  <c:v>4.5</c:v>
                </c:pt>
                <c:pt idx="5">
                  <c:v>4.75</c:v>
                </c:pt>
                <c:pt idx="6">
                  <c:v>5</c:v>
                </c:pt>
                <c:pt idx="7">
                  <c:v>5.25</c:v>
                </c:pt>
                <c:pt idx="8">
                  <c:v>5.5</c:v>
                </c:pt>
                <c:pt idx="9">
                  <c:v>5.75</c:v>
                </c:pt>
                <c:pt idx="10">
                  <c:v>6</c:v>
                </c:pt>
                <c:pt idx="11">
                  <c:v>6.25</c:v>
                </c:pt>
                <c:pt idx="12">
                  <c:v>6.5</c:v>
                </c:pt>
                <c:pt idx="13">
                  <c:v>6.75</c:v>
                </c:pt>
                <c:pt idx="14">
                  <c:v>7</c:v>
                </c:pt>
                <c:pt idx="15">
                  <c:v>7.25</c:v>
                </c:pt>
                <c:pt idx="16">
                  <c:v>7.5</c:v>
                </c:pt>
                <c:pt idx="17">
                  <c:v>7.75</c:v>
                </c:pt>
                <c:pt idx="18">
                  <c:v>8</c:v>
                </c:pt>
                <c:pt idx="19">
                  <c:v>8.25</c:v>
                </c:pt>
                <c:pt idx="20">
                  <c:v>8.5</c:v>
                </c:pt>
              </c:numCache>
            </c:numRef>
          </c:xVal>
          <c:yVal>
            <c:numRef>
              <c:f>'SWC Model Att'!$O$11:$O$31</c:f>
              <c:numCache>
                <c:formatCode>0.0000</c:formatCode>
                <c:ptCount val="21"/>
                <c:pt idx="0">
                  <c:v>0.1395859025449204</c:v>
                </c:pt>
                <c:pt idx="1">
                  <c:v>0.15158687009389843</c:v>
                </c:pt>
                <c:pt idx="2">
                  <c:v>0.16690909693509509</c:v>
                </c:pt>
                <c:pt idx="3">
                  <c:v>0.18585649369781229</c:v>
                </c:pt>
                <c:pt idx="4">
                  <c:v>0.20870325477535698</c:v>
                </c:pt>
                <c:pt idx="5">
                  <c:v>0.23563556353337786</c:v>
                </c:pt>
                <c:pt idx="6">
                  <c:v>0.26669119054385981</c:v>
                </c:pt>
                <c:pt idx="7">
                  <c:v>0.30171333690368413</c:v>
                </c:pt>
                <c:pt idx="8">
                  <c:v>0.34034120405222223</c:v>
                </c:pt>
                <c:pt idx="9">
                  <c:v>0.38205875556746866</c:v>
                </c:pt>
                <c:pt idx="10">
                  <c:v>0.4263111908939497</c:v>
                </c:pt>
                <c:pt idx="11">
                  <c:v>0.47267777072783446</c:v>
                </c:pt>
                <c:pt idx="12">
                  <c:v>0.52106937483560078</c:v>
                </c:pt>
                <c:pt idx="13">
                  <c:v>0.57191203927339707</c:v>
                </c:pt>
                <c:pt idx="14">
                  <c:v>0.626290137158931</c:v>
                </c:pt>
                <c:pt idx="15">
                  <c:v>0.66815060564391648</c:v>
                </c:pt>
                <c:pt idx="16">
                  <c:v>0.70056782552736063</c:v>
                </c:pt>
                <c:pt idx="17">
                  <c:v>0.73454045107810995</c:v>
                </c:pt>
                <c:pt idx="18">
                  <c:v>0.77014284064139804</c:v>
                </c:pt>
                <c:pt idx="19">
                  <c:v>0.8074529167207587</c:v>
                </c:pt>
                <c:pt idx="20">
                  <c:v>0.84655233690244491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7A-46B1-8FA6-E047D35D9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360624"/>
        <c:axId val="778361184"/>
      </c:scatterChart>
      <c:valAx>
        <c:axId val="778360624"/>
        <c:scaling>
          <c:orientation val="minMax"/>
          <c:min val="3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Source distance(km)</a:t>
                </a:r>
                <a:endParaRPr lang="zh-CN" altLang="en-US" sz="12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778361184"/>
        <c:crossesAt val="1.0000000000000004E-5"/>
        <c:crossBetween val="midCat"/>
        <c:minorUnit val="0.5"/>
      </c:valAx>
      <c:valAx>
        <c:axId val="778361184"/>
        <c:scaling>
          <c:logBase val="10"/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PGA(g)</a:t>
                </a:r>
                <a:endParaRPr lang="zh-CN" alt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7783606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519112</xdr:colOff>
      <xdr:row>6</xdr:row>
      <xdr:rowOff>80964</xdr:rowOff>
    </xdr:from>
    <xdr:to>
      <xdr:col>15</xdr:col>
      <xdr:colOff>191889</xdr:colOff>
      <xdr:row>20</xdr:row>
      <xdr:rowOff>74026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A0C8CB03-152A-40FE-9543-2FD1745526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2.34681E-7</cdr:x>
      <cdr:y>0</cdr:y>
    </cdr:from>
    <cdr:to>
      <cdr:x>0.05961</cdr:x>
      <cdr:y>0.10436</cdr:y>
    </cdr:to>
    <cdr:sp macro="" textlink="">
      <cdr:nvSpPr>
        <cdr:cNvPr id="3" name="文本框 2"/>
        <cdr:cNvSpPr txBox="1"/>
      </cdr:nvSpPr>
      <cdr:spPr>
        <a:xfrm xmlns:a="http://schemas.openxmlformats.org/drawingml/2006/main">
          <a:off x="1" y="0"/>
          <a:ext cx="253999" cy="232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altLang="zh-CN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(a)</a:t>
          </a:r>
          <a:endParaRPr lang="zh-CN" alt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178859</xdr:colOff>
      <xdr:row>13</xdr:row>
      <xdr:rowOff>100014</xdr:rowOff>
    </xdr:from>
    <xdr:to>
      <xdr:col>12</xdr:col>
      <xdr:colOff>61185</xdr:colOff>
      <xdr:row>27</xdr:row>
      <xdr:rowOff>45451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14</xdr:row>
      <xdr:rowOff>76200</xdr:rowOff>
    </xdr:from>
    <xdr:to>
      <xdr:col>22</xdr:col>
      <xdr:colOff>558600</xdr:colOff>
      <xdr:row>28</xdr:row>
      <xdr:rowOff>21637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D6E60A6-41F0-4403-AD72-BC695F331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2.34681E-7</cdr:x>
      <cdr:y>0</cdr:y>
    </cdr:from>
    <cdr:to>
      <cdr:x>0.05961</cdr:x>
      <cdr:y>0.10436</cdr:y>
    </cdr:to>
    <cdr:sp macro="" textlink="">
      <cdr:nvSpPr>
        <cdr:cNvPr id="3" name="文本框 2"/>
        <cdr:cNvSpPr txBox="1"/>
      </cdr:nvSpPr>
      <cdr:spPr>
        <a:xfrm xmlns:a="http://schemas.openxmlformats.org/drawingml/2006/main">
          <a:off x="1" y="0"/>
          <a:ext cx="253999" cy="232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altLang="zh-CN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(a)</a:t>
          </a:r>
          <a:endParaRPr lang="zh-CN" alt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2.34681E-7</cdr:x>
      <cdr:y>0</cdr:y>
    </cdr:from>
    <cdr:to>
      <cdr:x>0.05961</cdr:x>
      <cdr:y>0.10436</cdr:y>
    </cdr:to>
    <cdr:sp macro="" textlink="">
      <cdr:nvSpPr>
        <cdr:cNvPr id="3" name="文本框 2"/>
        <cdr:cNvSpPr txBox="1"/>
      </cdr:nvSpPr>
      <cdr:spPr>
        <a:xfrm xmlns:a="http://schemas.openxmlformats.org/drawingml/2006/main">
          <a:off x="1" y="0"/>
          <a:ext cx="253999" cy="232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altLang="zh-CN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(a)</a:t>
          </a:r>
          <a:endParaRPr lang="zh-CN" alt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8ABD2-E5F7-4B96-A01A-A14A0B08DCF7}">
  <sheetPr codeName="Sheet1"/>
  <dimension ref="A1:L15"/>
  <sheetViews>
    <sheetView workbookViewId="0"/>
  </sheetViews>
  <sheetFormatPr defaultRowHeight="13.9" x14ac:dyDescent="0.4"/>
  <cols>
    <col min="1" max="1" width="11" bestFit="1" customWidth="1"/>
    <col min="2" max="2" width="10.33203125" customWidth="1"/>
    <col min="3" max="3" width="13.1328125" customWidth="1"/>
    <col min="4" max="4" width="16.86328125" customWidth="1"/>
    <col min="5" max="5" width="16.53125" customWidth="1"/>
    <col min="6" max="6" width="16" customWidth="1"/>
    <col min="7" max="7" width="14.53125" customWidth="1"/>
    <col min="8" max="8" width="14.33203125" customWidth="1"/>
    <col min="9" max="9" width="14" customWidth="1"/>
    <col min="10" max="10" width="14.1328125" customWidth="1"/>
    <col min="11" max="11" width="14" customWidth="1"/>
    <col min="12" max="12" width="14.86328125" customWidth="1"/>
    <col min="13" max="13" width="13.19921875" customWidth="1"/>
    <col min="14" max="14" width="12.46484375" customWidth="1"/>
  </cols>
  <sheetData>
    <row r="1" spans="1:12" x14ac:dyDescent="0.4">
      <c r="A1" s="57" t="s">
        <v>108</v>
      </c>
    </row>
    <row r="2" spans="1:12" x14ac:dyDescent="0.4">
      <c r="A2" s="57"/>
    </row>
    <row r="4" spans="1:12" ht="31.25" customHeight="1" x14ac:dyDescent="0.4">
      <c r="A4" s="130" t="s">
        <v>43</v>
      </c>
      <c r="B4" s="130"/>
      <c r="C4" s="130"/>
      <c r="D4" s="130"/>
      <c r="E4" s="130"/>
      <c r="F4" s="130"/>
      <c r="G4" s="130"/>
      <c r="H4" s="130"/>
      <c r="I4" s="78"/>
      <c r="J4" s="78"/>
      <c r="K4" s="78"/>
      <c r="L4" s="30"/>
    </row>
    <row r="5" spans="1:12" ht="16.25" customHeight="1" x14ac:dyDescent="0.4">
      <c r="A5" s="58" t="s">
        <v>19</v>
      </c>
      <c r="B5" s="61" t="s">
        <v>85</v>
      </c>
      <c r="C5" s="61" t="s">
        <v>86</v>
      </c>
      <c r="D5" s="61" t="s">
        <v>87</v>
      </c>
      <c r="E5" s="61"/>
      <c r="F5" s="59"/>
      <c r="G5" s="59"/>
      <c r="H5" s="59"/>
      <c r="I5" s="79"/>
      <c r="J5" s="79"/>
      <c r="K5" s="79"/>
      <c r="L5" s="30"/>
    </row>
    <row r="6" spans="1:12" ht="97.15" x14ac:dyDescent="0.4">
      <c r="A6" s="58" t="s">
        <v>20</v>
      </c>
      <c r="B6" s="91" t="s">
        <v>89</v>
      </c>
      <c r="C6" s="91" t="s">
        <v>88</v>
      </c>
      <c r="D6" s="91" t="s">
        <v>90</v>
      </c>
      <c r="E6" s="91"/>
      <c r="F6" s="59"/>
      <c r="G6" s="59"/>
      <c r="H6" s="59"/>
      <c r="I6" s="79"/>
      <c r="J6" s="79"/>
      <c r="K6" s="79"/>
      <c r="L6" s="30"/>
    </row>
    <row r="9" spans="1:12" ht="29.75" customHeight="1" x14ac:dyDescent="0.4">
      <c r="A9" s="128" t="s">
        <v>84</v>
      </c>
      <c r="B9" s="129"/>
      <c r="C9" s="129"/>
      <c r="D9" s="129"/>
      <c r="E9" s="129"/>
      <c r="F9" s="129"/>
      <c r="G9" s="129"/>
      <c r="H9" s="129"/>
      <c r="I9" s="129"/>
    </row>
    <row r="10" spans="1:12" ht="17.649999999999999" x14ac:dyDescent="0.6">
      <c r="A10" s="62" t="s">
        <v>25</v>
      </c>
      <c r="B10" s="61" t="s">
        <v>21</v>
      </c>
      <c r="C10" s="61" t="s">
        <v>53</v>
      </c>
      <c r="D10" s="61" t="s">
        <v>23</v>
      </c>
      <c r="E10" s="61" t="s">
        <v>54</v>
      </c>
      <c r="F10" s="61" t="s">
        <v>65</v>
      </c>
      <c r="G10" s="64" t="s">
        <v>33</v>
      </c>
      <c r="H10" s="65" t="s">
        <v>37</v>
      </c>
      <c r="I10" s="64" t="s">
        <v>34</v>
      </c>
      <c r="J10" s="64" t="s">
        <v>35</v>
      </c>
      <c r="K10" s="64" t="s">
        <v>36</v>
      </c>
    </row>
    <row r="11" spans="1:12" ht="97.15" x14ac:dyDescent="0.4">
      <c r="A11" s="60" t="s">
        <v>26</v>
      </c>
      <c r="B11" s="59" t="s">
        <v>24</v>
      </c>
      <c r="C11" s="59" t="s">
        <v>48</v>
      </c>
      <c r="D11" s="59" t="s">
        <v>29</v>
      </c>
      <c r="E11" s="59" t="s">
        <v>30</v>
      </c>
      <c r="F11" s="59" t="s">
        <v>91</v>
      </c>
      <c r="G11" s="63" t="s">
        <v>38</v>
      </c>
      <c r="H11" s="63" t="s">
        <v>39</v>
      </c>
      <c r="I11" s="59" t="s">
        <v>40</v>
      </c>
      <c r="J11" s="59" t="s">
        <v>47</v>
      </c>
      <c r="K11" s="59" t="s">
        <v>41</v>
      </c>
    </row>
    <row r="12" spans="1:12" ht="41.65" x14ac:dyDescent="0.4">
      <c r="A12" s="66" t="s">
        <v>27</v>
      </c>
      <c r="B12" s="67"/>
      <c r="C12" s="67"/>
      <c r="D12" s="68" t="s">
        <v>92</v>
      </c>
      <c r="E12" s="67"/>
      <c r="F12" s="67"/>
      <c r="G12" s="67"/>
      <c r="H12" s="67"/>
      <c r="I12" s="67"/>
      <c r="J12" s="69"/>
      <c r="K12" s="69"/>
    </row>
    <row r="13" spans="1:12" x14ac:dyDescent="0.4">
      <c r="A13" s="71"/>
      <c r="B13" s="71"/>
      <c r="C13" s="71"/>
      <c r="D13" s="71"/>
      <c r="E13" s="71"/>
      <c r="F13" s="71"/>
      <c r="G13" s="71"/>
      <c r="H13" s="71"/>
      <c r="I13" s="72"/>
      <c r="J13" s="72"/>
      <c r="K13" s="72"/>
      <c r="L13" s="70"/>
    </row>
    <row r="14" spans="1:12" x14ac:dyDescent="0.4">
      <c r="I14" s="70"/>
      <c r="J14" s="70"/>
      <c r="K14" s="70"/>
      <c r="L14" s="70"/>
    </row>
    <row r="15" spans="1:12" x14ac:dyDescent="0.4">
      <c r="I15" s="70"/>
      <c r="J15" s="70"/>
      <c r="K15" s="70"/>
      <c r="L15" s="70"/>
    </row>
  </sheetData>
  <mergeCells count="2">
    <mergeCell ref="A9:I9"/>
    <mergeCell ref="A4:H4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8CA23-6F04-4D46-9160-AD885A7AFDAB}">
  <sheetPr codeName="Sheet20"/>
  <dimension ref="A1:CR194"/>
  <sheetViews>
    <sheetView tabSelected="1" zoomScaleNormal="100" workbookViewId="0">
      <selection activeCell="D10" sqref="D10"/>
    </sheetView>
  </sheetViews>
  <sheetFormatPr defaultColWidth="8.86328125" defaultRowHeight="13.9" x14ac:dyDescent="0.4"/>
  <cols>
    <col min="2" max="5" width="9.46484375" bestFit="1" customWidth="1"/>
    <col min="6" max="6" width="8.1328125" customWidth="1"/>
    <col min="12" max="12" width="10.19921875" customWidth="1"/>
    <col min="60" max="60" width="9.46484375" customWidth="1"/>
  </cols>
  <sheetData>
    <row r="1" spans="1:96" x14ac:dyDescent="0.4">
      <c r="A1" s="4"/>
      <c r="B1" s="16"/>
      <c r="C1" s="4"/>
      <c r="D1" s="16"/>
      <c r="E1" s="4"/>
      <c r="F1" s="16"/>
      <c r="G1" s="4"/>
      <c r="H1" s="34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Z1" s="4"/>
      <c r="AA1" s="16"/>
      <c r="AB1" s="4"/>
      <c r="AC1" s="16"/>
      <c r="AW1" s="4"/>
      <c r="AX1" s="16"/>
      <c r="AY1" s="4"/>
      <c r="BB1" s="16"/>
      <c r="BH1" s="16"/>
      <c r="BJ1" s="4"/>
      <c r="BO1" s="16"/>
      <c r="BP1" s="4"/>
      <c r="BQ1" s="4"/>
      <c r="BR1" s="16"/>
      <c r="BS1" s="4"/>
      <c r="BV1" s="16"/>
      <c r="CB1" s="16"/>
      <c r="CC1" s="16"/>
      <c r="CD1" s="4"/>
      <c r="CE1" s="16"/>
      <c r="CF1" s="4"/>
      <c r="CG1" s="16"/>
      <c r="CH1" s="4"/>
      <c r="CI1" s="34"/>
      <c r="CM1" s="16"/>
    </row>
    <row r="2" spans="1:96" x14ac:dyDescent="0.4">
      <c r="A2" s="124" t="s">
        <v>8</v>
      </c>
      <c r="B2" s="125">
        <v>6</v>
      </c>
      <c r="C2" s="38" t="s">
        <v>9</v>
      </c>
      <c r="D2" s="40">
        <v>1</v>
      </c>
      <c r="E2" s="38" t="s">
        <v>10</v>
      </c>
      <c r="F2" s="40">
        <v>10</v>
      </c>
      <c r="G2" s="121" t="s">
        <v>65</v>
      </c>
      <c r="H2" s="121" t="s">
        <v>75</v>
      </c>
      <c r="I2" s="38" t="s">
        <v>11</v>
      </c>
      <c r="J2" s="39">
        <v>1</v>
      </c>
      <c r="K2" s="122" t="s">
        <v>65</v>
      </c>
      <c r="L2" s="122" t="s">
        <v>72</v>
      </c>
      <c r="O2" s="123" t="s">
        <v>65</v>
      </c>
      <c r="P2" s="123" t="s">
        <v>76</v>
      </c>
      <c r="S2" s="120" t="s">
        <v>65</v>
      </c>
      <c r="T2" s="120" t="s">
        <v>77</v>
      </c>
      <c r="X2" s="131"/>
      <c r="Y2" s="131"/>
      <c r="Z2" s="131"/>
      <c r="AA2" s="131"/>
      <c r="AB2" s="131"/>
      <c r="AC2" s="54"/>
      <c r="AR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J2" s="53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55"/>
      <c r="CD2" s="4"/>
      <c r="CE2" s="54"/>
      <c r="CF2" s="4"/>
      <c r="CG2" s="54"/>
      <c r="CH2" s="4"/>
      <c r="CI2" s="54"/>
      <c r="CM2" s="16"/>
    </row>
    <row r="3" spans="1:96" ht="17.649999999999999" x14ac:dyDescent="0.6">
      <c r="A3" s="7" t="s">
        <v>12</v>
      </c>
      <c r="B3" s="8" t="s">
        <v>57</v>
      </c>
      <c r="C3" s="7" t="s">
        <v>0</v>
      </c>
      <c r="D3" s="9" t="s">
        <v>31</v>
      </c>
      <c r="E3" s="9" t="s">
        <v>32</v>
      </c>
      <c r="F3" s="10" t="s">
        <v>33</v>
      </c>
      <c r="G3" s="106" t="s">
        <v>37</v>
      </c>
      <c r="H3" s="107" t="s">
        <v>34</v>
      </c>
      <c r="I3" s="107" t="s">
        <v>35</v>
      </c>
      <c r="J3" s="107" t="s">
        <v>36</v>
      </c>
      <c r="K3" s="102" t="s">
        <v>37</v>
      </c>
      <c r="L3" s="103" t="s">
        <v>34</v>
      </c>
      <c r="M3" s="103" t="s">
        <v>35</v>
      </c>
      <c r="N3" s="103" t="s">
        <v>36</v>
      </c>
      <c r="O3" s="110" t="s">
        <v>37</v>
      </c>
      <c r="P3" s="111" t="s">
        <v>34</v>
      </c>
      <c r="Q3" s="111" t="s">
        <v>35</v>
      </c>
      <c r="R3" s="111" t="s">
        <v>36</v>
      </c>
      <c r="S3" s="104" t="s">
        <v>37</v>
      </c>
      <c r="T3" s="105" t="s">
        <v>34</v>
      </c>
      <c r="U3" s="105" t="s">
        <v>35</v>
      </c>
      <c r="V3" s="105" t="s">
        <v>36</v>
      </c>
      <c r="W3" s="52"/>
      <c r="X3" s="52"/>
      <c r="Z3" s="7"/>
      <c r="AA3" s="8"/>
      <c r="AB3" s="7"/>
      <c r="AC3" s="9"/>
      <c r="AE3" s="6"/>
      <c r="AF3" s="6"/>
      <c r="AG3" s="6"/>
      <c r="AH3" s="6"/>
      <c r="AI3" s="6"/>
      <c r="AJ3" s="6"/>
      <c r="AO3" s="6"/>
      <c r="AR3" s="5"/>
      <c r="AT3" s="6"/>
      <c r="AW3" s="5"/>
      <c r="AX3" s="5"/>
      <c r="AY3" s="52"/>
      <c r="AZ3" s="5"/>
      <c r="BA3" s="5"/>
      <c r="BB3" s="52"/>
      <c r="BC3" s="5"/>
      <c r="BD3" s="5"/>
      <c r="BE3" s="52"/>
      <c r="BF3" s="5"/>
      <c r="BG3" s="5"/>
      <c r="BH3" s="52"/>
      <c r="BJ3" s="7"/>
      <c r="BK3" s="7"/>
      <c r="BL3" s="8"/>
      <c r="BM3" s="7"/>
      <c r="BN3" s="5"/>
      <c r="BO3" s="5"/>
      <c r="BP3" s="52"/>
      <c r="BQ3" s="5"/>
      <c r="BR3" s="5"/>
      <c r="BS3" s="52"/>
      <c r="BT3" s="5"/>
      <c r="BU3" s="5"/>
      <c r="BV3" s="52"/>
      <c r="BW3" s="5"/>
      <c r="BX3" s="5"/>
      <c r="BY3" s="52"/>
      <c r="BZ3" s="5"/>
      <c r="CA3" s="5"/>
      <c r="CB3" s="52"/>
      <c r="CC3" s="8"/>
      <c r="CD3" s="7"/>
      <c r="CE3" s="9"/>
      <c r="CF3" s="9"/>
      <c r="CG3" s="10"/>
      <c r="CH3" s="5"/>
      <c r="CI3" s="10"/>
      <c r="CM3" s="6"/>
      <c r="CQ3" s="52"/>
      <c r="CR3" s="52"/>
    </row>
    <row r="4" spans="1:96" x14ac:dyDescent="0.4">
      <c r="A4">
        <v>1</v>
      </c>
      <c r="B4" s="3">
        <f>LN(C4)</f>
        <v>-5.2983173665480363</v>
      </c>
      <c r="C4" s="3">
        <v>5.0000000000000001E-3</v>
      </c>
      <c r="D4" s="13">
        <f>fm_XN(B$2,D$2,J$2,ParamTable_SWC!E4,ParamTable_SWC!F4,ParamTable_SWC!G4,ParamTable_SWC!H4,ParamTable_SWC!I4,ParamTable_SWC!J4,ParamTable_SWC!K4)</f>
        <v>10.750105000000001</v>
      </c>
      <c r="E4">
        <f>fp_XN($F$2,$B$2,ParamTable_SWC!$C4,ParamTable_SWC!$D4,ParamTable_SWC!$L4,ParamTable_SWC!$M4,ParamTable_SWC!$N4,ParamTable_SWC!$O4,ParamTable_SWC!$P4)</f>
        <v>-12.372512171146374</v>
      </c>
      <c r="F4" s="13">
        <f>EXP(D4+E4)/ParamTable_SWC!Q4</f>
        <v>0.15607678658326324</v>
      </c>
      <c r="G4" s="108">
        <f>ParamTable_SWC!$Q4*EXP(IF('SWC Model'!$H$2="IV",ParamTable_SWC!$T4,IF('SWC Model'!$H$2="III",ParamTable_SWC!$S4,IF('SWC Model'!$H$2="II",ParamTable_SWC!$R4,0))))</f>
        <v>1.2649087687328917</v>
      </c>
      <c r="H4" s="108">
        <f>$F4*G4</f>
        <v>0.19742289594482182</v>
      </c>
      <c r="I4" s="108" cm="1">
        <f t="array" ref="I4">fsite2025(H$2,$F4,G4,ParamTable_SWC!$Y4,IF('SWC Model'!H$2="IV",ParamTable_SWC!$AC4,IF('SWC Model'!H$2="III",ParamTable_SWC!$AB4,IF('SWC Model'!H$2="II",ParamTable_SWC!$AA4,ParamTable_SWC!$Z4))))</f>
        <v>1.2649087687328917</v>
      </c>
      <c r="J4" s="108">
        <f>$F4*I4</f>
        <v>0.19742289594482182</v>
      </c>
      <c r="K4" s="109">
        <f>ParamTable_SWC!$Q4*EXP(IF('SWC Model'!$L$2="IV",ParamTable_SWC!$T4,IF('SWC Model'!$L$2="III",ParamTable_SWC!$S4,IF('SWC Model'!$L$2="II",ParamTable_SWC!$R4,0))))</f>
        <v>1.7159553827511882</v>
      </c>
      <c r="L4" s="109">
        <f>$F4*K4</f>
        <v>0.26782080206005898</v>
      </c>
      <c r="M4" s="109" cm="1">
        <f t="array" ref="M4">fsite2025(L$2,$F4,K4,ParamTable_SWC!$Y4,IF('SWC Model'!L$2="IV",ParamTable_SWC!$AC4,IF('SWC Model'!L$2="III",ParamTable_SWC!$AB4,IF('SWC Model'!L$2="II",ParamTable_SWC!$AA4,ParamTable_SWC!$Z4))))</f>
        <v>1.6153610684007063</v>
      </c>
      <c r="N4" s="109">
        <f>$F4*M4</f>
        <v>0.25212036472768912</v>
      </c>
      <c r="O4" s="112">
        <f>ParamTable_SWC!$Q4*EXP(IF('SWC Model'!$P$2="IV",ParamTable_SWC!$T4,IF('SWC Model'!$P$2="III",ParamTable_SWC!$S4,IF('SWC Model'!$P$2="II",ParamTable_SWC!$R4,0))))</f>
        <v>2.065164739027987</v>
      </c>
      <c r="P4" s="112">
        <f>$F4*O4</f>
        <v>0.32232427623255167</v>
      </c>
      <c r="Q4" s="112" cm="1">
        <f t="array" ref="Q4">fsite2025(P$2,$F4,O4,ParamTable_SWC!$Y4,IF('SWC Model'!P$2="IV",ParamTable_SWC!$AC4,IF('SWC Model'!P$2="III",ParamTable_SWC!$AB4,IF('SWC Model'!P$2="II",ParamTable_SWC!$AA4,ParamTable_SWC!$Z4))))</f>
        <v>1.6717805912100121</v>
      </c>
      <c r="R4" s="112">
        <f>$F4*Q4</f>
        <v>0.26092614254832669</v>
      </c>
      <c r="S4" s="113">
        <f>ParamTable_SWC!$Q4*EXP(IF('SWC Model'!$T$2="IV",ParamTable_SWC!$T4,IF('SWC Model'!$T$2="III",ParamTable_SWC!$S4,IF('SWC Model'!$T$2="II",ParamTable_SWC!$R4,0))))</f>
        <v>2.0941966097626254</v>
      </c>
      <c r="T4" s="113">
        <f>$F4*S4</f>
        <v>0.32685547732531472</v>
      </c>
      <c r="U4" s="113" cm="1">
        <f t="array" ref="U4">fsite2025(T$2,$F4,S4,ParamTable_SWC!$Y4,IF('SWC Model'!T$2="IV",ParamTable_SWC!$AC4,IF('SWC Model'!T$2="III",ParamTable_SWC!$AB4,IF('SWC Model'!T$2="II",ParamTable_SWC!$AA4,ParamTable_SWC!$Z4))))</f>
        <v>1.3957131679026993</v>
      </c>
      <c r="V4" s="113">
        <f>$F4*U4</f>
        <v>0.21783842623819985</v>
      </c>
      <c r="Y4" s="13"/>
      <c r="Z4" s="13"/>
      <c r="AA4" s="13"/>
      <c r="AB4" s="13"/>
      <c r="AE4" s="13"/>
      <c r="AF4" s="13"/>
      <c r="AG4" s="13"/>
      <c r="AH4" s="13"/>
      <c r="AI4" s="13"/>
      <c r="AX4" s="3"/>
      <c r="BA4" s="3"/>
      <c r="BD4" s="3"/>
      <c r="BG4" s="3"/>
      <c r="BL4" s="3"/>
      <c r="BM4" s="3"/>
      <c r="CC4" s="3"/>
      <c r="CD4" s="3"/>
    </row>
    <row r="5" spans="1:96" x14ac:dyDescent="0.4">
      <c r="A5">
        <v>2</v>
      </c>
      <c r="B5" s="3">
        <f t="shared" ref="B5:B44" si="0">LN(C5)</f>
        <v>-4.6051701859880909</v>
      </c>
      <c r="C5" s="3">
        <v>0.01</v>
      </c>
      <c r="D5" s="13">
        <f>fm_XN(B$2,D$2,J$2,ParamTable_SWC!E5,ParamTable_SWC!F5,ParamTable_SWC!G5,ParamTable_SWC!H5,ParamTable_SWC!I5,ParamTable_SWC!J5,ParamTable_SWC!K5)</f>
        <v>10.849441799999999</v>
      </c>
      <c r="E5">
        <f>fp_XN($F$2,$B$2,ParamTable_SWC!$C5,ParamTable_SWC!$D5,ParamTable_SWC!$L5,ParamTable_SWC!$M5,ParamTable_SWC!$N5,ParamTable_SWC!$O5,ParamTable_SWC!$P5)</f>
        <v>-12.436957582877715</v>
      </c>
      <c r="F5" s="13">
        <f>EXP(D5+E5)/ParamTable_SWC!Q5</f>
        <v>0.16161864163795198</v>
      </c>
      <c r="G5" s="108">
        <f>ParamTable_SWC!$Q5*EXP(IF('SWC Model'!$H$2="IV",ParamTable_SWC!$T5,IF('SWC Model'!$H$2="III",ParamTable_SWC!$S5,IF('SWC Model'!$H$2="II",ParamTable_SWC!$R5,0))))</f>
        <v>1.2649087687328917</v>
      </c>
      <c r="H5" s="108">
        <f t="shared" ref="H5:H44" si="1">$F5*G5</f>
        <v>0.20443283699854431</v>
      </c>
      <c r="I5" s="108" cm="1">
        <f t="array" ref="I5">fsite2025(H$2,$F5,G5,ParamTable_SWC!$Y5,IF('SWC Model'!H$2="IV",ParamTable_SWC!$AC5,IF('SWC Model'!H$2="III",ParamTable_SWC!$AB5,IF('SWC Model'!H$2="II",ParamTable_SWC!$AA5,ParamTable_SWC!$Z5))))</f>
        <v>1.2649087687328917</v>
      </c>
      <c r="J5" s="108">
        <f t="shared" ref="J5:J44" si="2">$F5*I5</f>
        <v>0.20443283699854431</v>
      </c>
      <c r="K5" s="109">
        <f>ParamTable_SWC!$Q5*EXP(IF('SWC Model'!$L$2="IV",ParamTable_SWC!$T5,IF('SWC Model'!$L$2="III",ParamTable_SWC!$S5,IF('SWC Model'!$L$2="II",ParamTable_SWC!$R5,0))))</f>
        <v>1.7155264475246379</v>
      </c>
      <c r="L5" s="109">
        <f t="shared" ref="L5:L44" si="3">$F5*K5</f>
        <v>0.2772610541429133</v>
      </c>
      <c r="M5" s="109" cm="1">
        <f t="array" ref="M5">fsite2025(L$2,$F5,K5,ParamTable_SWC!$Y5,IF('SWC Model'!L$2="IV",ParamTable_SWC!$AC5,IF('SWC Model'!L$2="III",ParamTable_SWC!$AB5,IF('SWC Model'!L$2="II",ParamTable_SWC!$AA5,ParamTable_SWC!$Z5))))</f>
        <v>1.6132434010362837</v>
      </c>
      <c r="N5" s="109">
        <f t="shared" ref="N5:N44" si="4">$F5*M5</f>
        <v>0.260730207106874</v>
      </c>
      <c r="O5" s="112">
        <f>ParamTable_SWC!$Q5*EXP(IF('SWC Model'!$P$2="IV",ParamTable_SWC!$T5,IF('SWC Model'!$P$2="III",ParamTable_SWC!$S5,IF('SWC Model'!$P$2="II",ParamTable_SWC!$R5,0))))</f>
        <v>2.0647310999664863</v>
      </c>
      <c r="P5" s="112">
        <f t="shared" ref="P5:P44" si="5">$F5*O5</f>
        <v>0.33369903572421794</v>
      </c>
      <c r="Q5" s="112" cm="1">
        <f t="array" ref="Q5">fsite2025(P$2,$F5,O5,ParamTable_SWC!$Y5,IF('SWC Model'!P$2="IV",ParamTable_SWC!$AC5,IF('SWC Model'!P$2="III",ParamTable_SWC!$AB5,IF('SWC Model'!P$2="II",ParamTable_SWC!$AA5,ParamTable_SWC!$Z5))))</f>
        <v>1.6649494807888867</v>
      </c>
      <c r="R5" s="112">
        <f t="shared" ref="R5:R44" si="6">$F5*Q5</f>
        <v>0.26908687348091331</v>
      </c>
      <c r="S5" s="113">
        <f>ParamTable_SWC!$Q5*EXP(IF('SWC Model'!$T$2="IV",ParamTable_SWC!$T5,IF('SWC Model'!$T$2="III",ParamTable_SWC!$S5,IF('SWC Model'!$T$2="II",ParamTable_SWC!$R5,0))))</f>
        <v>2.0946364372309438</v>
      </c>
      <c r="T5" s="113">
        <f t="shared" ref="T5:T44" si="7">$F5*S5</f>
        <v>0.33853229571062438</v>
      </c>
      <c r="U5" s="113" cm="1">
        <f t="array" ref="U5">fsite2025(T$2,$F5,S5,ParamTable_SWC!$Y5,IF('SWC Model'!T$2="IV",ParamTable_SWC!$AC5,IF('SWC Model'!T$2="III",ParamTable_SWC!$AB5,IF('SWC Model'!T$2="II",ParamTable_SWC!$AA5,ParamTable_SWC!$Z5))))</f>
        <v>1.3853373550598722</v>
      </c>
      <c r="V5" s="113">
        <f t="shared" ref="V5:V44" si="8">$F5*U5</f>
        <v>0.22389634153508972</v>
      </c>
      <c r="Y5" s="13"/>
      <c r="Z5" s="13"/>
      <c r="AA5" s="13"/>
      <c r="AB5" s="13"/>
      <c r="AE5" s="13"/>
      <c r="AF5" s="13"/>
      <c r="AG5" s="13"/>
      <c r="AH5" s="13"/>
      <c r="AI5" s="13"/>
      <c r="AX5" s="3"/>
      <c r="BA5" s="3"/>
      <c r="BD5" s="3"/>
      <c r="BG5" s="3"/>
      <c r="BL5" s="3"/>
      <c r="BM5" s="3"/>
      <c r="CC5" s="3"/>
      <c r="CD5" s="3"/>
    </row>
    <row r="6" spans="1:96" x14ac:dyDescent="0.4">
      <c r="A6">
        <v>3</v>
      </c>
      <c r="B6" s="3">
        <f t="shared" si="0"/>
        <v>-3.912023005428146</v>
      </c>
      <c r="C6" s="3">
        <v>0.02</v>
      </c>
      <c r="D6" s="13">
        <f>fm_XN(B$2,D$2,J$2,ParamTable_SWC!E6,ParamTable_SWC!F6,ParamTable_SWC!G6,ParamTable_SWC!H6,ParamTable_SWC!I6,ParamTable_SWC!J6,ParamTable_SWC!K6)</f>
        <v>11.069909299999999</v>
      </c>
      <c r="E6">
        <f>fp_XN($F$2,$B$2,ParamTable_SWC!$C6,ParamTable_SWC!$D6,ParamTable_SWC!$L6,ParamTable_SWC!$M6,ParamTable_SWC!$N6,ParamTable_SWC!$O6,ParamTable_SWC!$P6)</f>
        <v>-12.51640149422904</v>
      </c>
      <c r="F6" s="13">
        <f>EXP(D6+E6)/ParamTable_SWC!Q6</f>
        <v>0.1860960772589639</v>
      </c>
      <c r="G6" s="108">
        <f>ParamTable_SWC!$Q6*EXP(IF('SWC Model'!$H$2="IV",ParamTable_SWC!$T6,IF('SWC Model'!$H$2="III",ParamTable_SWC!$S6,IF('SWC Model'!$H$2="II",ParamTable_SWC!$R6,0))))</f>
        <v>1.2649087687328917</v>
      </c>
      <c r="H6" s="108">
        <f t="shared" si="1"/>
        <v>0.23539455995165712</v>
      </c>
      <c r="I6" s="108" cm="1">
        <f t="array" ref="I6">fsite2025(H$2,$F6,G6,ParamTable_SWC!$Y6,IF('SWC Model'!H$2="IV",ParamTable_SWC!$AC6,IF('SWC Model'!H$2="III",ParamTable_SWC!$AB6,IF('SWC Model'!H$2="II",ParamTable_SWC!$AA6,ParamTable_SWC!$Z6))))</f>
        <v>1.2649087687328917</v>
      </c>
      <c r="J6" s="108">
        <f t="shared" si="2"/>
        <v>0.23539455995165712</v>
      </c>
      <c r="K6" s="109">
        <f>ParamTable_SWC!$Q6*EXP(IF('SWC Model'!$L$2="IV",ParamTable_SWC!$T6,IF('SWC Model'!$L$2="III",ParamTable_SWC!$S6,IF('SWC Model'!$L$2="II",ParamTable_SWC!$R6,0))))</f>
        <v>1.7175176128563829</v>
      </c>
      <c r="L6" s="109">
        <f t="shared" si="3"/>
        <v>0.31962329037575271</v>
      </c>
      <c r="M6" s="109" cm="1">
        <f t="array" ref="M6">fsite2025(L$2,$F6,K6,ParamTable_SWC!$Y6,IF('SWC Model'!L$2="IV",ParamTable_SWC!$AC6,IF('SWC Model'!L$2="III",ParamTable_SWC!$AB6,IF('SWC Model'!L$2="II",ParamTable_SWC!$AA6,ParamTable_SWC!$Z6))))</f>
        <v>1.6044602111993722</v>
      </c>
      <c r="N6" s="109">
        <f t="shared" si="4"/>
        <v>0.29858375142229193</v>
      </c>
      <c r="O6" s="112">
        <f>ParamTable_SWC!$Q6*EXP(IF('SWC Model'!$P$2="IV",ParamTable_SWC!$T6,IF('SWC Model'!$P$2="III",ParamTable_SWC!$S6,IF('SWC Model'!$P$2="II",ParamTable_SWC!$R6,0))))</f>
        <v>2.0612240389430307</v>
      </c>
      <c r="P6" s="112">
        <f t="shared" si="5"/>
        <v>0.38358570799917585</v>
      </c>
      <c r="Q6" s="112" cm="1">
        <f t="array" ref="Q6">fsite2025(P$2,$F6,O6,ParamTable_SWC!$Y6,IF('SWC Model'!P$2="IV",ParamTable_SWC!$AC6,IF('SWC Model'!P$2="III",ParamTable_SWC!$AB6,IF('SWC Model'!P$2="II",ParamTable_SWC!$AA6,ParamTable_SWC!$Z6))))</f>
        <v>1.633852074046324</v>
      </c>
      <c r="R6" s="112">
        <f t="shared" si="6"/>
        <v>0.30405346180144316</v>
      </c>
      <c r="S6" s="113">
        <f>ParamTable_SWC!$Q6*EXP(IF('SWC Model'!$T$2="IV",ParamTable_SWC!$T6,IF('SWC Model'!$T$2="III",ParamTable_SWC!$S6,IF('SWC Model'!$T$2="II",ParamTable_SWC!$R6,0))))</f>
        <v>2.0721153630603495</v>
      </c>
      <c r="T6" s="113">
        <f t="shared" si="7"/>
        <v>0.38561254069356482</v>
      </c>
      <c r="U6" s="113" cm="1">
        <f t="array" ref="U6">fsite2025(T$2,$F6,S6,ParamTable_SWC!$Y6,IF('SWC Model'!T$2="IV",ParamTable_SWC!$AC6,IF('SWC Model'!T$2="III",ParamTable_SWC!$AB6,IF('SWC Model'!T$2="II",ParamTable_SWC!$AA6,ParamTable_SWC!$Z6))))</f>
        <v>1.3358303561761227</v>
      </c>
      <c r="V6" s="113">
        <f t="shared" si="8"/>
        <v>0.24859278916782099</v>
      </c>
      <c r="Y6" s="13"/>
      <c r="Z6" s="13"/>
      <c r="AA6" s="13"/>
      <c r="AB6" s="13"/>
      <c r="AE6" s="13"/>
      <c r="AF6" s="13"/>
      <c r="AG6" s="13"/>
      <c r="AH6" s="13"/>
      <c r="AI6" s="13"/>
      <c r="AX6" s="3"/>
      <c r="BA6" s="3"/>
      <c r="BD6" s="3"/>
      <c r="BG6" s="3"/>
      <c r="BL6" s="3"/>
      <c r="BM6" s="3"/>
      <c r="CC6" s="3"/>
      <c r="CD6" s="3"/>
    </row>
    <row r="7" spans="1:96" x14ac:dyDescent="0.4">
      <c r="A7">
        <v>4</v>
      </c>
      <c r="B7" s="3">
        <f t="shared" si="0"/>
        <v>-3.5065578973199818</v>
      </c>
      <c r="C7" s="3">
        <v>0.03</v>
      </c>
      <c r="D7" s="13">
        <f>fm_XN(B$2,D$2,J$2,ParamTable_SWC!E7,ParamTable_SWC!F7,ParamTable_SWC!G7,ParamTable_SWC!H7,ParamTable_SWC!I7,ParamTable_SWC!J7,ParamTable_SWC!K7)</f>
        <v>11.249794300000001</v>
      </c>
      <c r="E7">
        <f>fp_XN($F$2,$B$2,ParamTable_SWC!$C7,ParamTable_SWC!$D7,ParamTable_SWC!$L7,ParamTable_SWC!$M7,ParamTable_SWC!$N7,ParamTable_SWC!$O7,ParamTable_SWC!$P7)</f>
        <v>-12.566761503839933</v>
      </c>
      <c r="F7" s="13">
        <f>EXP(D7+E7)/ParamTable_SWC!Q7</f>
        <v>0.21119630895534666</v>
      </c>
      <c r="G7" s="108">
        <f>ParamTable_SWC!$Q7*EXP(IF('SWC Model'!$H$2="IV",ParamTable_SWC!$T7,IF('SWC Model'!$H$2="III",ParamTable_SWC!$S7,IF('SWC Model'!$H$2="II",ParamTable_SWC!$R7,0))))</f>
        <v>1.2687091928249108</v>
      </c>
      <c r="H7" s="108">
        <f t="shared" si="1"/>
        <v>0.26794669866233833</v>
      </c>
      <c r="I7" s="108" cm="1">
        <f t="array" ref="I7">fsite2025(H$2,$F7,G7,ParamTable_SWC!$Y7,IF('SWC Model'!H$2="IV",ParamTable_SWC!$AC7,IF('SWC Model'!H$2="III",ParamTable_SWC!$AB7,IF('SWC Model'!H$2="II",ParamTable_SWC!$AA7,ParamTable_SWC!$Z7))))</f>
        <v>1.2687091928249108</v>
      </c>
      <c r="J7" s="108">
        <f t="shared" si="2"/>
        <v>0.26794669866233833</v>
      </c>
      <c r="K7" s="109">
        <f>ParamTable_SWC!$Q7*EXP(IF('SWC Model'!$L$2="IV",ParamTable_SWC!$T7,IF('SWC Model'!$L$2="III",ParamTable_SWC!$S7,IF('SWC Model'!$L$2="II",ParamTable_SWC!$R7,0))))</f>
        <v>1.7286486913090546</v>
      </c>
      <c r="L7" s="109">
        <f t="shared" si="3"/>
        <v>0.3650842230849628</v>
      </c>
      <c r="M7" s="109" cm="1">
        <f t="array" ref="M7">fsite2025(L$2,$F7,K7,ParamTable_SWC!$Y7,IF('SWC Model'!L$2="IV",ParamTable_SWC!$AC7,IF('SWC Model'!L$2="III",ParamTable_SWC!$AB7,IF('SWC Model'!L$2="II",ParamTable_SWC!$AA7,ParamTable_SWC!$Z7))))</f>
        <v>1.5993035262101256</v>
      </c>
      <c r="N7" s="109">
        <f t="shared" si="4"/>
        <v>0.33776700163484907</v>
      </c>
      <c r="O7" s="112">
        <f>ParamTable_SWC!$Q7*EXP(IF('SWC Model'!$P$2="IV",ParamTable_SWC!$T7,IF('SWC Model'!$P$2="III",ParamTable_SWC!$S7,IF('SWC Model'!$P$2="II",ParamTable_SWC!$R7,0))))</f>
        <v>2.0551318366952054</v>
      </c>
      <c r="P7" s="112">
        <f t="shared" si="5"/>
        <v>0.43403625832664966</v>
      </c>
      <c r="Q7" s="112" cm="1">
        <f t="array" ref="Q7">fsite2025(P$2,$F7,O7,ParamTable_SWC!$Y7,IF('SWC Model'!P$2="IV",ParamTable_SWC!$AC7,IF('SWC Model'!P$2="III",ParamTable_SWC!$AB7,IF('SWC Model'!P$2="II",ParamTable_SWC!$AA7,ParamTable_SWC!$Z7))))</f>
        <v>1.6014403946012183</v>
      </c>
      <c r="R7" s="112">
        <f t="shared" si="6"/>
        <v>0.3382183003517712</v>
      </c>
      <c r="S7" s="113">
        <f>ParamTable_SWC!$Q7*EXP(IF('SWC Model'!$T$2="IV",ParamTable_SWC!$T7,IF('SWC Model'!$T$2="III",ParamTable_SWC!$S7,IF('SWC Model'!$T$2="II",ParamTable_SWC!$R7,0))))</f>
        <v>2.0285068894785354</v>
      </c>
      <c r="T7" s="113">
        <f t="shared" si="7"/>
        <v>0.42841316774835803</v>
      </c>
      <c r="U7" s="113" cm="1">
        <f t="array" ref="U7">fsite2025(T$2,$F7,S7,ParamTable_SWC!$Y7,IF('SWC Model'!T$2="IV",ParamTable_SWC!$AC7,IF('SWC Model'!T$2="III",ParamTable_SWC!$AB7,IF('SWC Model'!T$2="II",ParamTable_SWC!$AA7,ParamTable_SWC!$Z7))))</f>
        <v>1.2900461638602039</v>
      </c>
      <c r="V7" s="113">
        <f t="shared" si="8"/>
        <v>0.27245298818927938</v>
      </c>
      <c r="Y7" s="13"/>
      <c r="Z7" s="13"/>
      <c r="AA7" s="13"/>
      <c r="AB7" s="13"/>
      <c r="AE7" s="13"/>
      <c r="AF7" s="13"/>
      <c r="AG7" s="13"/>
      <c r="AH7" s="13"/>
      <c r="AI7" s="13"/>
      <c r="AX7" s="3"/>
      <c r="BA7" s="3"/>
      <c r="BD7" s="3"/>
      <c r="BG7" s="3"/>
      <c r="BL7" s="3"/>
      <c r="BM7" s="3"/>
      <c r="CC7" s="3"/>
      <c r="CD7" s="3"/>
    </row>
    <row r="8" spans="1:96" x14ac:dyDescent="0.4">
      <c r="A8">
        <v>5</v>
      </c>
      <c r="B8" s="3">
        <f t="shared" si="0"/>
        <v>-3.2188758248682006</v>
      </c>
      <c r="C8" s="3">
        <v>0.04</v>
      </c>
      <c r="D8" s="13">
        <f>fm_XN(B$2,D$2,J$2,ParamTable_SWC!E8,ParamTable_SWC!F8,ParamTable_SWC!G8,ParamTable_SWC!H8,ParamTable_SWC!I8,ParamTable_SWC!J8,ParamTable_SWC!K8)</f>
        <v>11.307006299999999</v>
      </c>
      <c r="E8">
        <f>fp_XN($F$2,$B$2,ParamTable_SWC!$C8,ParamTable_SWC!$D8,ParamTable_SWC!$L8,ParamTable_SWC!$M8,ParamTable_SWC!$N8,ParamTable_SWC!$O8,ParamTable_SWC!$P8)</f>
        <v>-12.503041067816481</v>
      </c>
      <c r="F8" s="13">
        <f>EXP(D8+E8)/ParamTable_SWC!Q8</f>
        <v>0.23906142114798823</v>
      </c>
      <c r="G8" s="108">
        <f>ParamTable_SWC!$Q8*EXP(IF('SWC Model'!$H$2="IV",ParamTable_SWC!$T8,IF('SWC Model'!$H$2="III",ParamTable_SWC!$S8,IF('SWC Model'!$H$2="II",ParamTable_SWC!$R8,0))))</f>
        <v>1.2649087687328917</v>
      </c>
      <c r="H8" s="108">
        <f t="shared" si="1"/>
        <v>0.30239088787583707</v>
      </c>
      <c r="I8" s="108" cm="1">
        <f t="array" ref="I8">fsite2025(H$2,$F8,G8,ParamTable_SWC!$Y8,IF('SWC Model'!H$2="IV",ParamTable_SWC!$AC8,IF('SWC Model'!H$2="III",ParamTable_SWC!$AB8,IF('SWC Model'!H$2="II",ParamTable_SWC!$AA8,ParamTable_SWC!$Z8))))</f>
        <v>1.2649087687328917</v>
      </c>
      <c r="J8" s="108">
        <f t="shared" si="2"/>
        <v>0.30239088787583707</v>
      </c>
      <c r="K8" s="109">
        <f>ParamTable_SWC!$Q8*EXP(IF('SWC Model'!$L$2="IV",ParamTable_SWC!$T8,IF('SWC Model'!$L$2="III",ParamTable_SWC!$S8,IF('SWC Model'!$L$2="II",ParamTable_SWC!$R8,0))))</f>
        <v>1.7174489135258642</v>
      </c>
      <c r="L8" s="109">
        <f t="shared" si="3"/>
        <v>0.41057577801656142</v>
      </c>
      <c r="M8" s="109" cm="1">
        <f t="array" ref="M8">fsite2025(L$2,$F8,K8,ParamTable_SWC!$Y8,IF('SWC Model'!L$2="IV",ParamTable_SWC!$AC8,IF('SWC Model'!L$2="III",ParamTable_SWC!$AB8,IF('SWC Model'!L$2="II",ParamTable_SWC!$AA8,ParamTable_SWC!$Z8))))</f>
        <v>1.5752482035439925</v>
      </c>
      <c r="N8" s="109">
        <f t="shared" si="4"/>
        <v>0.37658107420004228</v>
      </c>
      <c r="O8" s="112">
        <f>ParamTable_SWC!$Q8*EXP(IF('SWC Model'!$P$2="IV",ParamTable_SWC!$T8,IF('SWC Model'!$P$2="III",ParamTable_SWC!$S8,IF('SWC Model'!$P$2="II",ParamTable_SWC!$R8,0))))</f>
        <v>2.0267833912130104</v>
      </c>
      <c r="P8" s="112">
        <f t="shared" si="5"/>
        <v>0.4845257178625213</v>
      </c>
      <c r="Q8" s="112" cm="1">
        <f t="array" ref="Q8">fsite2025(P$2,$F8,O8,ParamTable_SWC!$Y8,IF('SWC Model'!P$2="IV",ParamTable_SWC!$AC8,IF('SWC Model'!P$2="III",ParamTable_SWC!$AB8,IF('SWC Model'!P$2="II",ParamTable_SWC!$AA8,ParamTable_SWC!$Z8))))</f>
        <v>1.5637296488048047</v>
      </c>
      <c r="R8" s="112">
        <f t="shared" si="6"/>
        <v>0.37382743213452113</v>
      </c>
      <c r="S8" s="113">
        <f>ParamTable_SWC!$Q8*EXP(IF('SWC Model'!$T$2="IV",ParamTable_SWC!$T8,IF('SWC Model'!$T$2="III",ParamTable_SWC!$S8,IF('SWC Model'!$T$2="II",ParamTable_SWC!$R8,0))))</f>
        <v>1.9349084254247912</v>
      </c>
      <c r="T8" s="113">
        <f t="shared" si="7"/>
        <v>0.46256195797326677</v>
      </c>
      <c r="U8" s="113" cm="1">
        <f t="array" ref="U8">fsite2025(T$2,$F8,S8,ParamTable_SWC!$Y8,IF('SWC Model'!T$2="IV",ParamTable_SWC!$AC8,IF('SWC Model'!T$2="III",ParamTable_SWC!$AB8,IF('SWC Model'!T$2="II",ParamTable_SWC!$AA8,ParamTable_SWC!$Z8))))</f>
        <v>1.2328641340449391</v>
      </c>
      <c r="V8" s="113">
        <f t="shared" si="8"/>
        <v>0.29473025196716701</v>
      </c>
      <c r="Y8" s="13"/>
      <c r="Z8" s="13"/>
      <c r="AA8" s="13"/>
      <c r="AB8" s="13"/>
      <c r="AE8" s="13"/>
      <c r="AF8" s="13"/>
      <c r="AG8" s="13"/>
      <c r="AH8" s="13"/>
      <c r="AI8" s="13"/>
      <c r="AX8" s="3"/>
      <c r="BA8" s="3"/>
      <c r="BD8" s="3"/>
      <c r="BG8" s="3"/>
      <c r="BL8" s="3"/>
      <c r="BM8" s="3"/>
      <c r="CC8" s="3"/>
      <c r="CD8" s="3"/>
    </row>
    <row r="9" spans="1:96" x14ac:dyDescent="0.4">
      <c r="A9">
        <v>6</v>
      </c>
      <c r="B9" s="3">
        <f t="shared" si="0"/>
        <v>-2.9957322735539909</v>
      </c>
      <c r="C9" s="3">
        <v>0.05</v>
      </c>
      <c r="D9" s="13">
        <f>fm_XN(B$2,D$2,J$2,ParamTable_SWC!E9,ParamTable_SWC!F9,ParamTable_SWC!G9,ParamTable_SWC!H9,ParamTable_SWC!I9,ParamTable_SWC!J9,ParamTable_SWC!K9)</f>
        <v>11.2468</v>
      </c>
      <c r="E9">
        <f>fp_XN($F$2,$B$2,ParamTable_SWC!$C9,ParamTable_SWC!$D9,ParamTable_SWC!$L9,ParamTable_SWC!$M9,ParamTable_SWC!$N9,ParamTable_SWC!$O9,ParamTable_SWC!$P9)</f>
        <v>-12.311291208797611</v>
      </c>
      <c r="F9" s="13">
        <f>EXP(D9+E9)/ParamTable_SWC!Q9</f>
        <v>0.2756864227034006</v>
      </c>
      <c r="G9" s="108">
        <f>ParamTable_SWC!$Q9*EXP(IF('SWC Model'!$H$2="IV",ParamTable_SWC!$T9,IF('SWC Model'!$H$2="III",ParamTable_SWC!$S9,IF('SWC Model'!$H$2="II",ParamTable_SWC!$R9,0))))</f>
        <v>1.2510710194283623</v>
      </c>
      <c r="H9" s="108">
        <f t="shared" si="1"/>
        <v>0.34490329389410179</v>
      </c>
      <c r="I9" s="108" cm="1">
        <f t="array" ref="I9">fsite2025(H$2,$F9,G9,ParamTable_SWC!$Y9,IF('SWC Model'!H$2="IV",ParamTable_SWC!$AC9,IF('SWC Model'!H$2="III",ParamTable_SWC!$AB9,IF('SWC Model'!H$2="II",ParamTable_SWC!$AA9,ParamTable_SWC!$Z9))))</f>
        <v>1.2510710194283623</v>
      </c>
      <c r="J9" s="108">
        <f t="shared" si="2"/>
        <v>0.34490329389410179</v>
      </c>
      <c r="K9" s="109">
        <f>ParamTable_SWC!$Q9*EXP(IF('SWC Model'!$L$2="IV",ParamTable_SWC!$T9,IF('SWC Model'!$L$2="III",ParamTable_SWC!$S9,IF('SWC Model'!$L$2="II",ParamTable_SWC!$R9,0))))</f>
        <v>1.6729859100454916</v>
      </c>
      <c r="L9" s="109">
        <f t="shared" si="3"/>
        <v>0.46121950077363472</v>
      </c>
      <c r="M9" s="109" cm="1">
        <f t="array" ref="M9">fsite2025(L$2,$F9,K9,ParamTable_SWC!$Y9,IF('SWC Model'!L$2="IV",ParamTable_SWC!$AC9,IF('SWC Model'!L$2="III",ParamTable_SWC!$AB9,IF('SWC Model'!L$2="II",ParamTable_SWC!$AA9,ParamTable_SWC!$Z9))))</f>
        <v>1.5195724512446018</v>
      </c>
      <c r="N9" s="109">
        <f t="shared" si="4"/>
        <v>0.4189254931222619</v>
      </c>
      <c r="O9" s="112">
        <f>ParamTable_SWC!$Q9*EXP(IF('SWC Model'!$P$2="IV",ParamTable_SWC!$T9,IF('SWC Model'!$P$2="III",ParamTable_SWC!$S9,IF('SWC Model'!$P$2="II",ParamTable_SWC!$R9,0))))</f>
        <v>1.9713922124941055</v>
      </c>
      <c r="P9" s="112">
        <f t="shared" si="5"/>
        <v>0.54348606680784206</v>
      </c>
      <c r="Q9" s="112" cm="1">
        <f t="array" ref="Q9">fsite2025(P$2,$F9,O9,ParamTable_SWC!$Y9,IF('SWC Model'!P$2="IV",ParamTable_SWC!$AC9,IF('SWC Model'!P$2="III",ParamTable_SWC!$AB9,IF('SWC Model'!P$2="II",ParamTable_SWC!$AA9,ParamTable_SWC!$Z9))))</f>
        <v>1.4998315863102158</v>
      </c>
      <c r="R9" s="112">
        <f t="shared" si="6"/>
        <v>0.41348320468743005</v>
      </c>
      <c r="S9" s="113">
        <f>ParamTable_SWC!$Q9*EXP(IF('SWC Model'!$T$2="IV",ParamTable_SWC!$T9,IF('SWC Model'!$T$2="III",ParamTable_SWC!$S9,IF('SWC Model'!$T$2="II",ParamTable_SWC!$R9,0))))</f>
        <v>1.8058474807200009</v>
      </c>
      <c r="T9" s="113">
        <f t="shared" si="7"/>
        <v>0.49784763190764525</v>
      </c>
      <c r="U9" s="113" cm="1">
        <f t="array" ref="U9">fsite2025(T$2,$F9,S9,ParamTable_SWC!$Y9,IF('SWC Model'!T$2="IV",ParamTable_SWC!$AC9,IF('SWC Model'!T$2="III",ParamTable_SWC!$AB9,IF('SWC Model'!T$2="II",ParamTable_SWC!$AA9,ParamTable_SWC!$Z9))))</f>
        <v>1.1416263437492233</v>
      </c>
      <c r="V9" s="113">
        <f t="shared" si="8"/>
        <v>0.31473088277218608</v>
      </c>
      <c r="Y9" s="13"/>
      <c r="Z9" s="13"/>
      <c r="AA9" s="13"/>
      <c r="AB9" s="13"/>
      <c r="AE9" s="13"/>
      <c r="AF9" s="13"/>
      <c r="AG9" s="13"/>
      <c r="AH9" s="13"/>
      <c r="AI9" s="13"/>
      <c r="AX9" s="3"/>
      <c r="BA9" s="3"/>
      <c r="BD9" s="3"/>
      <c r="BG9" s="3"/>
      <c r="BL9" s="3"/>
      <c r="BM9" s="3"/>
      <c r="CC9" s="3"/>
      <c r="CD9" s="3"/>
    </row>
    <row r="10" spans="1:96" x14ac:dyDescent="0.4">
      <c r="A10">
        <v>7</v>
      </c>
      <c r="B10" s="3">
        <f t="shared" si="0"/>
        <v>-2.8134107167600364</v>
      </c>
      <c r="C10" s="3">
        <v>0.06</v>
      </c>
      <c r="D10" s="13">
        <f>fm_XN(B$2,D$2,J$2,ParamTable_SWC!E10,ParamTable_SWC!F10,ParamTable_SWC!G10,ParamTable_SWC!H10,ParamTable_SWC!I10,ParamTable_SWC!J10,ParamTable_SWC!K10)</f>
        <v>11.098782399999999</v>
      </c>
      <c r="E10">
        <f>fp_XN($F$2,$B$2,ParamTable_SWC!$C10,ParamTable_SWC!$D10,ParamTable_SWC!$L10,ParamTable_SWC!$M10,ParamTable_SWC!$N10,ParamTable_SWC!$O10,ParamTable_SWC!$P10)</f>
        <v>-12.034050199321145</v>
      </c>
      <c r="F10" s="13">
        <f>EXP(D10+E10)/ParamTable_SWC!Q10</f>
        <v>0.31877562317111058</v>
      </c>
      <c r="G10" s="108">
        <f>ParamTable_SWC!$Q10*EXP(IF('SWC Model'!$H$2="IV",ParamTable_SWC!$T10,IF('SWC Model'!$H$2="III",ParamTable_SWC!$S10,IF('SWC Model'!$H$2="II",ParamTable_SWC!$R10,0))))</f>
        <v>1.2312131695488677</v>
      </c>
      <c r="H10" s="108">
        <f t="shared" si="1"/>
        <v>0.39248074537941852</v>
      </c>
      <c r="I10" s="108" cm="1">
        <f t="array" ref="I10">fsite2025(H$2,$F10,G10,ParamTable_SWC!$Y10,IF('SWC Model'!H$2="IV",ParamTable_SWC!$AC10,IF('SWC Model'!H$2="III",ParamTable_SWC!$AB10,IF('SWC Model'!H$2="II",ParamTable_SWC!$AA10,ParamTable_SWC!$Z10))))</f>
        <v>1.2312131695488677</v>
      </c>
      <c r="J10" s="108">
        <f t="shared" si="2"/>
        <v>0.39248074537941852</v>
      </c>
      <c r="K10" s="109">
        <f>ParamTable_SWC!$Q10*EXP(IF('SWC Model'!$L$2="IV",ParamTable_SWC!$T10,IF('SWC Model'!$L$2="III",ParamTable_SWC!$S10,IF('SWC Model'!$L$2="II",ParamTable_SWC!$R10,0))))</f>
        <v>1.6132810104576456</v>
      </c>
      <c r="L10" s="109">
        <f t="shared" si="3"/>
        <v>0.51427465945875495</v>
      </c>
      <c r="M10" s="109" cm="1">
        <f t="array" ref="M10">fsite2025(L$2,$F10,K10,ParamTable_SWC!$Y10,IF('SWC Model'!L$2="IV",ParamTable_SWC!$AC10,IF('SWC Model'!L$2="III",ParamTable_SWC!$AB10,IF('SWC Model'!L$2="II",ParamTable_SWC!$AA10,ParamTable_SWC!$Z10))))</f>
        <v>1.445998154185083</v>
      </c>
      <c r="N10" s="109">
        <f t="shared" si="4"/>
        <v>0.46094896270462549</v>
      </c>
      <c r="O10" s="112">
        <f>ParamTable_SWC!$Q10*EXP(IF('SWC Model'!$P$2="IV",ParamTable_SWC!$T10,IF('SWC Model'!$P$2="III",ParamTable_SWC!$S10,IF('SWC Model'!$P$2="II",ParamTable_SWC!$R10,0))))</f>
        <v>1.9083137524601879</v>
      </c>
      <c r="P10" s="112">
        <f t="shared" si="5"/>
        <v>0.60832390564649685</v>
      </c>
      <c r="Q10" s="112" cm="1">
        <f t="array" ref="Q10">fsite2025(P$2,$F10,O10,ParamTable_SWC!$Y10,IF('SWC Model'!P$2="IV",ParamTable_SWC!$AC10,IF('SWC Model'!P$2="III",ParamTable_SWC!$AB10,IF('SWC Model'!P$2="II",ParamTable_SWC!$AA10,ParamTable_SWC!$Z10))))</f>
        <v>1.4211543359724923</v>
      </c>
      <c r="R10" s="112">
        <f t="shared" si="6"/>
        <v>0.45302935907195707</v>
      </c>
      <c r="S10" s="113">
        <f>ParamTable_SWC!$Q10*EXP(IF('SWC Model'!$T$2="IV",ParamTable_SWC!$T10,IF('SWC Model'!$T$2="III",ParamTable_SWC!$S10,IF('SWC Model'!$T$2="II",ParamTable_SWC!$R10,0))))</f>
        <v>1.6893097271077051</v>
      </c>
      <c r="T10" s="113">
        <f t="shared" si="7"/>
        <v>0.53851076098777739</v>
      </c>
      <c r="U10" s="113" cm="1">
        <f t="array" ref="U10">fsite2025(T$2,$F10,S10,ParamTable_SWC!$Y10,IF('SWC Model'!T$2="IV",ParamTable_SWC!$AC10,IF('SWC Model'!T$2="III",ParamTable_SWC!$AB10,IF('SWC Model'!T$2="II",ParamTable_SWC!$AA10,ParamTable_SWC!$Z10))))</f>
        <v>1.0481034016631385</v>
      </c>
      <c r="V10" s="113">
        <f t="shared" si="8"/>
        <v>0.3341098150129278</v>
      </c>
      <c r="Y10" s="13"/>
      <c r="Z10" s="13"/>
      <c r="AA10" s="13"/>
      <c r="AB10" s="13"/>
      <c r="AE10" s="13"/>
      <c r="AF10" s="13"/>
      <c r="AG10" s="13"/>
      <c r="AH10" s="13"/>
      <c r="AI10" s="13"/>
      <c r="AX10" s="3"/>
      <c r="BA10" s="3"/>
      <c r="BD10" s="3"/>
      <c r="BG10" s="3"/>
      <c r="BL10" s="3"/>
      <c r="BM10" s="3"/>
      <c r="CC10" s="3"/>
      <c r="CD10" s="3"/>
    </row>
    <row r="11" spans="1:96" x14ac:dyDescent="0.4">
      <c r="A11">
        <v>8</v>
      </c>
      <c r="B11" s="3">
        <f t="shared" si="0"/>
        <v>-2.6592600369327779</v>
      </c>
      <c r="C11" s="3">
        <v>7.0000000000000007E-2</v>
      </c>
      <c r="D11" s="13">
        <f>fm_XN(B$2,D$2,J$2,ParamTable_SWC!E11,ParamTable_SWC!F11,ParamTable_SWC!G11,ParamTable_SWC!H11,ParamTable_SWC!I11,ParamTable_SWC!J11,ParamTable_SWC!K11)</f>
        <v>10.905288500000001</v>
      </c>
      <c r="E11">
        <f>fp_XN($F$2,$B$2,ParamTable_SWC!$C11,ParamTable_SWC!$D11,ParamTable_SWC!$L11,ParamTable_SWC!$M11,ParamTable_SWC!$N11,ParamTable_SWC!$O11,ParamTable_SWC!$P11)</f>
        <v>-11.731927437968517</v>
      </c>
      <c r="F11" s="13">
        <f>EXP(D11+E11)/ParamTable_SWC!Q11</f>
        <v>0.36036461596382369</v>
      </c>
      <c r="G11" s="108">
        <f>ParamTable_SWC!$Q11*EXP(IF('SWC Model'!$H$2="IV",ParamTable_SWC!$T11,IF('SWC Model'!$H$2="III",ParamTable_SWC!$S11,IF('SWC Model'!$H$2="II",ParamTable_SWC!$R11,0))))</f>
        <v>1.2140962829562332</v>
      </c>
      <c r="H11" s="108">
        <f t="shared" si="1"/>
        <v>0.43751734075062876</v>
      </c>
      <c r="I11" s="108" cm="1">
        <f t="array" ref="I11">fsite2025(H$2,$F11,G11,ParamTable_SWC!$Y11,IF('SWC Model'!H$2="IV",ParamTable_SWC!$AC11,IF('SWC Model'!H$2="III",ParamTable_SWC!$AB11,IF('SWC Model'!H$2="II",ParamTable_SWC!$AA11,ParamTable_SWC!$Z11))))</f>
        <v>1.2140962829562332</v>
      </c>
      <c r="J11" s="108">
        <f t="shared" si="2"/>
        <v>0.43751734075062876</v>
      </c>
      <c r="K11" s="109">
        <f>ParamTable_SWC!$Q11*EXP(IF('SWC Model'!$L$2="IV",ParamTable_SWC!$T11,IF('SWC Model'!$L$2="III",ParamTable_SWC!$S11,IF('SWC Model'!$L$2="II",ParamTable_SWC!$R11,0))))</f>
        <v>1.5624264038763938</v>
      </c>
      <c r="L11" s="109">
        <f t="shared" si="3"/>
        <v>0.56304319100465472</v>
      </c>
      <c r="M11" s="109" cm="1">
        <f t="array" ref="M11">fsite2025(L$2,$F11,K11,ParamTable_SWC!$Y11,IF('SWC Model'!L$2="IV",ParamTable_SWC!$AC11,IF('SWC Model'!L$2="III",ParamTable_SWC!$AB11,IF('SWC Model'!L$2="II",ParamTable_SWC!$AA11,ParamTable_SWC!$Z11))))</f>
        <v>1.3832242596118545</v>
      </c>
      <c r="N11" s="109">
        <f t="shared" si="4"/>
        <v>0.49846507910687027</v>
      </c>
      <c r="O11" s="112">
        <f>ParamTable_SWC!$Q11*EXP(IF('SWC Model'!$P$2="IV",ParamTable_SWC!$T11,IF('SWC Model'!$P$2="III",ParamTable_SWC!$S11,IF('SWC Model'!$P$2="II",ParamTable_SWC!$R11,0))))</f>
        <v>1.8463671392992711</v>
      </c>
      <c r="P11" s="112">
        <f t="shared" si="5"/>
        <v>0.66536538508180554</v>
      </c>
      <c r="Q11" s="112" cm="1">
        <f t="array" ref="Q11">fsite2025(P$2,$F11,O11,ParamTable_SWC!$Y11,IF('SWC Model'!P$2="IV",ParamTable_SWC!$AC11,IF('SWC Model'!P$2="III",ParamTable_SWC!$AB11,IF('SWC Model'!P$2="II",ParamTable_SWC!$AA11,ParamTable_SWC!$Z11))))</f>
        <v>1.3486964278175038</v>
      </c>
      <c r="R11" s="112">
        <f t="shared" si="6"/>
        <v>0.48602247026223561</v>
      </c>
      <c r="S11" s="113">
        <f>ParamTable_SWC!$Q11*EXP(IF('SWC Model'!$T$2="IV",ParamTable_SWC!$T11,IF('SWC Model'!$T$2="III",ParamTable_SWC!$S11,IF('SWC Model'!$T$2="II",ParamTable_SWC!$R11,0))))</f>
        <v>1.6050260708976631</v>
      </c>
      <c r="T11" s="113">
        <f t="shared" si="7"/>
        <v>0.57839460365096118</v>
      </c>
      <c r="U11" s="113" cm="1">
        <f t="array" ref="U11">fsite2025(T$2,$F11,S11,ParamTable_SWC!$Y11,IF('SWC Model'!T$2="IV",ParamTable_SWC!$AC11,IF('SWC Model'!T$2="III",ParamTable_SWC!$AB11,IF('SWC Model'!T$2="II",ParamTable_SWC!$AA11,ParamTable_SWC!$Z11))))</f>
        <v>0.9787906043376231</v>
      </c>
      <c r="V11" s="113">
        <f t="shared" si="8"/>
        <v>0.35272150024112647</v>
      </c>
      <c r="Y11" s="13"/>
      <c r="Z11" s="13"/>
      <c r="AA11" s="13"/>
      <c r="AB11" s="13"/>
      <c r="AE11" s="13"/>
      <c r="AF11" s="13"/>
      <c r="AG11" s="13"/>
      <c r="AH11" s="13"/>
      <c r="AI11" s="13"/>
      <c r="AX11" s="3"/>
      <c r="BA11" s="3"/>
      <c r="BD11" s="3"/>
      <c r="BG11" s="3"/>
      <c r="BL11" s="3"/>
      <c r="BM11" s="3"/>
      <c r="CC11" s="3"/>
      <c r="CD11" s="3"/>
    </row>
    <row r="12" spans="1:96" x14ac:dyDescent="0.4">
      <c r="A12">
        <v>9</v>
      </c>
      <c r="B12" s="3">
        <f t="shared" si="0"/>
        <v>-2.5257286443082556</v>
      </c>
      <c r="C12" s="3">
        <v>0.08</v>
      </c>
      <c r="D12" s="13">
        <f>fm_XN(B$2,D$2,J$2,ParamTable_SWC!E12,ParamTable_SWC!F12,ParamTable_SWC!G12,ParamTable_SWC!H12,ParamTable_SWC!I12,ParamTable_SWC!J12,ParamTable_SWC!K12)</f>
        <v>10.7005316</v>
      </c>
      <c r="E12">
        <f>fp_XN($F$2,$B$2,ParamTable_SWC!$C12,ParamTable_SWC!$D12,ParamTable_SWC!$L12,ParamTable_SWC!$M12,ParamTable_SWC!$N12,ParamTable_SWC!$O12,ParamTable_SWC!$P12)</f>
        <v>-11.444948113804941</v>
      </c>
      <c r="F12" s="13">
        <f>EXP(D12+E12)/ParamTable_SWC!Q12</f>
        <v>0.39478399419199389</v>
      </c>
      <c r="G12" s="108">
        <f>ParamTable_SWC!$Q12*EXP(IF('SWC Model'!$H$2="IV",ParamTable_SWC!$T12,IF('SWC Model'!$H$2="III",ParamTable_SWC!$S12,IF('SWC Model'!$H$2="II",ParamTable_SWC!$R12,0))))</f>
        <v>1.2032184401276953</v>
      </c>
      <c r="H12" s="108">
        <f t="shared" si="1"/>
        <v>0.47501138167907203</v>
      </c>
      <c r="I12" s="108" cm="1">
        <f t="array" ref="I12">fsite2025(H$2,$F12,G12,ParamTable_SWC!$Y12,IF('SWC Model'!H$2="IV",ParamTable_SWC!$AC12,IF('SWC Model'!H$2="III",ParamTable_SWC!$AB12,IF('SWC Model'!H$2="II",ParamTable_SWC!$AA12,ParamTable_SWC!$Z12))))</f>
        <v>1.2032184401276953</v>
      </c>
      <c r="J12" s="108">
        <f t="shared" si="2"/>
        <v>0.47501138167907203</v>
      </c>
      <c r="K12" s="109">
        <f>ParamTable_SWC!$Q12*EXP(IF('SWC Model'!$L$2="IV",ParamTable_SWC!$T12,IF('SWC Model'!$L$2="III",ParamTable_SWC!$S12,IF('SWC Model'!$L$2="II",ParamTable_SWC!$R12,0))))</f>
        <v>1.5299728650719786</v>
      </c>
      <c r="L12" s="109">
        <f t="shared" si="3"/>
        <v>0.60400879867848423</v>
      </c>
      <c r="M12" s="109" cm="1">
        <f t="array" ref="M12">fsite2025(L$2,$F12,K12,ParamTable_SWC!$Y12,IF('SWC Model'!L$2="IV",ParamTable_SWC!$AC12,IF('SWC Model'!L$2="III",ParamTable_SWC!$AB12,IF('SWC Model'!L$2="II",ParamTable_SWC!$AA12,ParamTable_SWC!$Z12))))</f>
        <v>1.3415336574433276</v>
      </c>
      <c r="N12" s="109">
        <f t="shared" si="4"/>
        <v>0.52961601562847094</v>
      </c>
      <c r="O12" s="112">
        <f>ParamTable_SWC!$Q12*EXP(IF('SWC Model'!$P$2="IV",ParamTable_SWC!$T12,IF('SWC Model'!$P$2="III",ParamTable_SWC!$S12,IF('SWC Model'!$P$2="II",ParamTable_SWC!$R12,0))))</f>
        <v>1.8017168213992065</v>
      </c>
      <c r="P12" s="112">
        <f t="shared" si="5"/>
        <v>0.71128896315488199</v>
      </c>
      <c r="Q12" s="112" cm="1">
        <f t="array" ref="Q12">fsite2025(P$2,$F12,O12,ParamTable_SWC!$Y12,IF('SWC Model'!P$2="IV",ParamTable_SWC!$AC12,IF('SWC Model'!P$2="III",ParamTable_SWC!$AB12,IF('SWC Model'!P$2="II",ParamTable_SWC!$AA12,ParamTable_SWC!$Z12))))</f>
        <v>1.295736088534478</v>
      </c>
      <c r="R12" s="112">
        <f t="shared" si="6"/>
        <v>0.51153586845035226</v>
      </c>
      <c r="S12" s="113">
        <f>ParamTable_SWC!$Q12*EXP(IF('SWC Model'!$T$2="IV",ParamTable_SWC!$T12,IF('SWC Model'!$T$2="III",ParamTable_SWC!$S12,IF('SWC Model'!$T$2="II",ParamTable_SWC!$R12,0))))</f>
        <v>1.5574813542208343</v>
      </c>
      <c r="T12" s="113">
        <f t="shared" si="7"/>
        <v>0.61486870989885667</v>
      </c>
      <c r="U12" s="113" cm="1">
        <f t="array" ref="U12">fsite2025(T$2,$F12,S12,ParamTable_SWC!$Y12,IF('SWC Model'!T$2="IV",ParamTable_SWC!$AC12,IF('SWC Model'!T$2="III",ParamTable_SWC!$AB12,IF('SWC Model'!T$2="II",ParamTable_SWC!$AA12,ParamTable_SWC!$Z12))))</f>
        <v>0.93527656390569414</v>
      </c>
      <c r="V12" s="113">
        <f t="shared" si="8"/>
        <v>0.36923221757285357</v>
      </c>
      <c r="Y12" s="13"/>
      <c r="Z12" s="13"/>
      <c r="AA12" s="13"/>
      <c r="AB12" s="13"/>
      <c r="AE12" s="13"/>
      <c r="AF12" s="13"/>
      <c r="AG12" s="13"/>
      <c r="AH12" s="13"/>
      <c r="AI12" s="13"/>
      <c r="AX12" s="3"/>
      <c r="BA12" s="3"/>
      <c r="BD12" s="3"/>
      <c r="BG12" s="3"/>
      <c r="BL12" s="3"/>
      <c r="BM12" s="3"/>
      <c r="CC12" s="3"/>
      <c r="CD12" s="3"/>
    </row>
    <row r="13" spans="1:96" x14ac:dyDescent="0.4">
      <c r="A13">
        <v>10</v>
      </c>
      <c r="B13" s="3">
        <f t="shared" si="0"/>
        <v>-2.4079456086518722</v>
      </c>
      <c r="C13" s="3">
        <v>0.09</v>
      </c>
      <c r="D13" s="13">
        <f>fm_XN(B$2,D$2,J$2,ParamTable_SWC!E13,ParamTable_SWC!F13,ParamTable_SWC!G13,ParamTable_SWC!H13,ParamTable_SWC!I13,ParamTable_SWC!J13,ParamTable_SWC!K13)</f>
        <v>10.488005000000001</v>
      </c>
      <c r="E13">
        <f>fp_XN($F$2,$B$2,ParamTable_SWC!$C13,ParamTable_SWC!$D13,ParamTable_SWC!$L13,ParamTable_SWC!$M13,ParamTable_SWC!$N13,ParamTable_SWC!$O13,ParamTable_SWC!$P13)</f>
        <v>-11.182609842434726</v>
      </c>
      <c r="F13" s="13">
        <f>EXP(D13+E13)/ParamTable_SWC!Q13</f>
        <v>0.41619355835092514</v>
      </c>
      <c r="G13" s="108">
        <f>ParamTable_SWC!$Q13*EXP(IF('SWC Model'!$H$2="IV",ParamTable_SWC!$T13,IF('SWC Model'!$H$2="III",ParamTable_SWC!$S13,IF('SWC Model'!$H$2="II",ParamTable_SWC!$R13,0))))</f>
        <v>1.1996141938798683</v>
      </c>
      <c r="H13" s="108">
        <f t="shared" si="1"/>
        <v>0.49927169999913901</v>
      </c>
      <c r="I13" s="108" cm="1">
        <f t="array" ref="I13">fsite2025(H$2,$F13,G13,ParamTable_SWC!$Y13,IF('SWC Model'!H$2="IV",ParamTable_SWC!$AC13,IF('SWC Model'!H$2="III",ParamTable_SWC!$AB13,IF('SWC Model'!H$2="II",ParamTable_SWC!$AA13,ParamTable_SWC!$Z13))))</f>
        <v>1.1996141938798683</v>
      </c>
      <c r="J13" s="108">
        <f t="shared" si="2"/>
        <v>0.49927169999913901</v>
      </c>
      <c r="K13" s="109">
        <f>ParamTable_SWC!$Q13*EXP(IF('SWC Model'!$L$2="IV",ParamTable_SWC!$T13,IF('SWC Model'!$L$2="III",ParamTable_SWC!$S13,IF('SWC Model'!$L$2="II",ParamTable_SWC!$R13,0))))</f>
        <v>1.5195131689941923</v>
      </c>
      <c r="L13" s="109">
        <f t="shared" si="3"/>
        <v>0.63241159276478354</v>
      </c>
      <c r="M13" s="109" cm="1">
        <f t="array" ref="M13">fsite2025(L$2,$F13,K13,ParamTable_SWC!$Y13,IF('SWC Model'!L$2="IV",ParamTable_SWC!$AC13,IF('SWC Model'!L$2="III",ParamTable_SWC!$AB13,IF('SWC Model'!L$2="II",ParamTable_SWC!$AA13,ParamTable_SWC!$Z13))))</f>
        <v>1.3241447514917581</v>
      </c>
      <c r="N13" s="109">
        <f t="shared" si="4"/>
        <v>0.55110051589505626</v>
      </c>
      <c r="O13" s="112">
        <f>ParamTable_SWC!$Q13*EXP(IF('SWC Model'!$P$2="IV",ParamTable_SWC!$T13,IF('SWC Model'!$P$2="III",ParamTable_SWC!$S13,IF('SWC Model'!$P$2="II",ParamTable_SWC!$R13,0))))</f>
        <v>1.7740232681363675</v>
      </c>
      <c r="P13" s="112">
        <f t="shared" si="5"/>
        <v>0.73833705656301218</v>
      </c>
      <c r="Q13" s="112" cm="1">
        <f t="array" ref="Q13">fsite2025(P$2,$F13,O13,ParamTable_SWC!$Y13,IF('SWC Model'!P$2="IV",ParamTable_SWC!$AC13,IF('SWC Model'!P$2="III",ParamTable_SWC!$AB13,IF('SWC Model'!P$2="II",ParamTable_SWC!$AA13,ParamTable_SWC!$Z13))))</f>
        <v>1.2642942007410076</v>
      </c>
      <c r="R13" s="112">
        <f t="shared" si="6"/>
        <v>0.5261911022088388</v>
      </c>
      <c r="S13" s="113">
        <f>ParamTable_SWC!$Q13*EXP(IF('SWC Model'!$T$2="IV",ParamTable_SWC!$T13,IF('SWC Model'!$T$2="III",ParamTable_SWC!$S13,IF('SWC Model'!$T$2="II",ParamTable_SWC!$R13,0))))</f>
        <v>1.5444224164986535</v>
      </c>
      <c r="T13" s="113">
        <f t="shared" si="7"/>
        <v>0.64277866111950921</v>
      </c>
      <c r="U13" s="113" cm="1">
        <f t="array" ref="U13">fsite2025(T$2,$F13,S13,ParamTable_SWC!$Y13,IF('SWC Model'!T$2="IV",ParamTable_SWC!$AC13,IF('SWC Model'!T$2="III",ParamTable_SWC!$AB13,IF('SWC Model'!T$2="II",ParamTable_SWC!$AA13,ParamTable_SWC!$Z13))))</f>
        <v>0.92028758170772373</v>
      </c>
      <c r="V13" s="113">
        <f t="shared" si="8"/>
        <v>0.3830177633371053</v>
      </c>
      <c r="Y13" s="13"/>
      <c r="Z13" s="13"/>
      <c r="AA13" s="13"/>
      <c r="AB13" s="13"/>
      <c r="AE13" s="13"/>
      <c r="AF13" s="13"/>
      <c r="AG13" s="13"/>
      <c r="AH13" s="13"/>
      <c r="AI13" s="13"/>
      <c r="AX13" s="3"/>
      <c r="BA13" s="3"/>
      <c r="BD13" s="3"/>
      <c r="BG13" s="3"/>
      <c r="BL13" s="3"/>
      <c r="BM13" s="3"/>
      <c r="CC13" s="3"/>
      <c r="CD13" s="3"/>
    </row>
    <row r="14" spans="1:96" x14ac:dyDescent="0.4">
      <c r="A14">
        <v>11</v>
      </c>
      <c r="B14" s="3">
        <f t="shared" si="0"/>
        <v>-2.3025850929940455</v>
      </c>
      <c r="C14" s="3">
        <v>0.1</v>
      </c>
      <c r="D14" s="13">
        <f>fm_XN(B$2,D$2,J$2,ParamTable_SWC!E14,ParamTable_SWC!F14,ParamTable_SWC!G14,ParamTable_SWC!H14,ParamTable_SWC!I14,ParamTable_SWC!J14,ParamTable_SWC!K14)</f>
        <v>10.288009300000001</v>
      </c>
      <c r="E14">
        <f>fp_XN($F$2,$B$2,ParamTable_SWC!$C14,ParamTable_SWC!$D14,ParamTable_SWC!$L14,ParamTable_SWC!$M14,ParamTable_SWC!$N14,ParamTable_SWC!$O14,ParamTable_SWC!$P14)</f>
        <v>-10.957096206555933</v>
      </c>
      <c r="F14" s="13">
        <f>EXP(D14+E14)/ParamTable_SWC!Q14</f>
        <v>0.4252462327908233</v>
      </c>
      <c r="G14" s="108">
        <f>ParamTable_SWC!$Q14*EXP(IF('SWC Model'!$H$2="IV",ParamTable_SWC!$T14,IF('SWC Model'!$H$2="III",ParamTable_SWC!$S14,IF('SWC Model'!$H$2="II",ParamTable_SWC!$R14,0))))</f>
        <v>1.2044222603776298</v>
      </c>
      <c r="H14" s="108">
        <f t="shared" si="1"/>
        <v>0.51217602891499514</v>
      </c>
      <c r="I14" s="108" cm="1">
        <f t="array" ref="I14">fsite2025(H$2,$F14,G14,ParamTable_SWC!$Y14,IF('SWC Model'!H$2="IV",ParamTable_SWC!$AC14,IF('SWC Model'!H$2="III",ParamTable_SWC!$AB14,IF('SWC Model'!H$2="II",ParamTable_SWC!$AA14,ParamTable_SWC!$Z14))))</f>
        <v>1.2044222603776298</v>
      </c>
      <c r="J14" s="108">
        <f t="shared" si="2"/>
        <v>0.51217602891499514</v>
      </c>
      <c r="K14" s="109">
        <f>ParamTable_SWC!$Q14*EXP(IF('SWC Model'!$L$2="IV",ParamTable_SWC!$T14,IF('SWC Model'!$L$2="III",ParamTable_SWC!$S14,IF('SWC Model'!$L$2="II",ParamTable_SWC!$R14,0))))</f>
        <v>1.5330665338129021</v>
      </c>
      <c r="L14" s="109">
        <f t="shared" si="3"/>
        <v>0.65193076812162198</v>
      </c>
      <c r="M14" s="109" cm="1">
        <f t="array" ref="M14">fsite2025(L$2,$F14,K14,ParamTable_SWC!$Y14,IF('SWC Model'!L$2="IV",ParamTable_SWC!$AC14,IF('SWC Model'!L$2="III",ParamTable_SWC!$AB14,IF('SWC Model'!L$2="II",ParamTable_SWC!$AA14,ParamTable_SWC!$Z14))))</f>
        <v>1.3315406040764195</v>
      </c>
      <c r="N14" s="109">
        <f t="shared" si="4"/>
        <v>0.56623262569151456</v>
      </c>
      <c r="O14" s="112">
        <f>ParamTable_SWC!$Q14*EXP(IF('SWC Model'!$P$2="IV",ParamTable_SWC!$T14,IF('SWC Model'!$P$2="III",ParamTable_SWC!$S14,IF('SWC Model'!$P$2="II",ParamTable_SWC!$R14,0))))</f>
        <v>1.7765264052413916</v>
      </c>
      <c r="P14" s="112">
        <f t="shared" si="5"/>
        <v>0.75546116128232532</v>
      </c>
      <c r="Q14" s="112" cm="1">
        <f t="array" ref="Q14">fsite2025(P$2,$F14,O14,ParamTable_SWC!$Y14,IF('SWC Model'!P$2="IV",ParamTable_SWC!$AC14,IF('SWC Model'!P$2="III",ParamTable_SWC!$AB14,IF('SWC Model'!P$2="II",ParamTable_SWC!$AA14,ParamTable_SWC!$Z14))))</f>
        <v>1.2605561665474161</v>
      </c>
      <c r="R14" s="112">
        <f t="shared" si="6"/>
        <v>0.53604676104553028</v>
      </c>
      <c r="S14" s="113">
        <f>ParamTable_SWC!$Q14*EXP(IF('SWC Model'!$T$2="IV",ParamTable_SWC!$T14,IF('SWC Model'!$T$2="III",ParamTable_SWC!$S14,IF('SWC Model'!$T$2="II",ParamTable_SWC!$R14,0))))</f>
        <v>1.5585875586384299</v>
      </c>
      <c r="T14" s="113">
        <f t="shared" si="7"/>
        <v>0.66278348778563867</v>
      </c>
      <c r="U14" s="113" cm="1">
        <f t="array" ref="U14">fsite2025(T$2,$F14,S14,ParamTable_SWC!$Y14,IF('SWC Model'!T$2="IV",ParamTable_SWC!$AC14,IF('SWC Model'!T$2="III",ParamTable_SWC!$AB14,IF('SWC Model'!T$2="II",ParamTable_SWC!$AA14,ParamTable_SWC!$Z14))))</f>
        <v>0.92593362731077844</v>
      </c>
      <c r="V14" s="113">
        <f t="shared" si="8"/>
        <v>0.39374978682825074</v>
      </c>
      <c r="Y14" s="13"/>
      <c r="Z14" s="13"/>
      <c r="AA14" s="13"/>
      <c r="AB14" s="13"/>
      <c r="AE14" s="13"/>
      <c r="AF14" s="13"/>
      <c r="AG14" s="13"/>
      <c r="AH14" s="13"/>
      <c r="AI14" s="13"/>
      <c r="AX14" s="3"/>
      <c r="BA14" s="3"/>
      <c r="BD14" s="3"/>
      <c r="BG14" s="3"/>
      <c r="BL14" s="3"/>
      <c r="BM14" s="3"/>
      <c r="CC14" s="3"/>
      <c r="CD14" s="3"/>
    </row>
    <row r="15" spans="1:96" x14ac:dyDescent="0.4">
      <c r="A15">
        <v>12</v>
      </c>
      <c r="B15" s="3">
        <f t="shared" si="0"/>
        <v>-2.120263536200091</v>
      </c>
      <c r="C15" s="3">
        <v>0.12</v>
      </c>
      <c r="D15" s="13">
        <f>fm_XN(B$2,D$2,J$2,ParamTable_SWC!E15,ParamTable_SWC!F15,ParamTable_SWC!G15,ParamTable_SWC!H15,ParamTable_SWC!I15,ParamTable_SWC!J15,ParamTable_SWC!K15)</f>
        <v>9.9405329000000009</v>
      </c>
      <c r="E15">
        <f>fp_XN($F$2,$B$2,ParamTable_SWC!$C15,ParamTable_SWC!$D15,ParamTable_SWC!$L15,ParamTable_SWC!$M15,ParamTable_SWC!$N15,ParamTable_SWC!$O15,ParamTable_SWC!$P15)</f>
        <v>-10.604176373909166</v>
      </c>
      <c r="F15" s="13">
        <f>EXP(D15+E15)/ParamTable_SWC!Q15</f>
        <v>0.41826357879284376</v>
      </c>
      <c r="G15" s="108">
        <f>ParamTable_SWC!$Q15*EXP(IF('SWC Model'!$H$2="IV",ParamTable_SWC!$T15,IF('SWC Model'!$H$2="III",ParamTable_SWC!$S15,IF('SWC Model'!$H$2="II",ParamTable_SWC!$R15,0))))</f>
        <v>1.2312131695488677</v>
      </c>
      <c r="H15" s="108">
        <f t="shared" si="1"/>
        <v>0.51497162655238971</v>
      </c>
      <c r="I15" s="108" cm="1">
        <f t="array" ref="I15">fsite2025(H$2,$F15,G15,ParamTable_SWC!$Y15,IF('SWC Model'!H$2="IV",ParamTable_SWC!$AC15,IF('SWC Model'!H$2="III",ParamTable_SWC!$AB15,IF('SWC Model'!H$2="II",ParamTable_SWC!$AA15,ParamTable_SWC!$Z15))))</f>
        <v>1.2312131695488677</v>
      </c>
      <c r="J15" s="108">
        <f t="shared" si="2"/>
        <v>0.51497162655238971</v>
      </c>
      <c r="K15" s="109">
        <f>ParamTable_SWC!$Q15*EXP(IF('SWC Model'!$L$2="IV",ParamTable_SWC!$T15,IF('SWC Model'!$L$2="III",ParamTable_SWC!$S15,IF('SWC Model'!$L$2="II",ParamTable_SWC!$R15,0))))</f>
        <v>1.6123617023093977</v>
      </c>
      <c r="L15" s="109">
        <f t="shared" si="3"/>
        <v>0.6743921759164504</v>
      </c>
      <c r="M15" s="109" cm="1">
        <f t="array" ref="M15">fsite2025(L$2,$F15,K15,ParamTable_SWC!$Y15,IF('SWC Model'!L$2="IV",ParamTable_SWC!$AC15,IF('SWC Model'!L$2="III",ParamTable_SWC!$AB15,IF('SWC Model'!L$2="II",ParamTable_SWC!$AA15,ParamTable_SWC!$Z15))))</f>
        <v>1.4026823246769762</v>
      </c>
      <c r="N15" s="109">
        <f t="shared" si="4"/>
        <v>0.58669092902885767</v>
      </c>
      <c r="O15" s="112">
        <f>ParamTable_SWC!$Q15*EXP(IF('SWC Model'!$P$2="IV",ParamTable_SWC!$T15,IF('SWC Model'!$P$2="III",ParamTable_SWC!$S15,IF('SWC Model'!$P$2="II",ParamTable_SWC!$R15,0))))</f>
        <v>1.8532298839056927</v>
      </c>
      <c r="P15" s="112">
        <f t="shared" si="5"/>
        <v>0.7751385635682414</v>
      </c>
      <c r="Q15" s="112" cm="1">
        <f t="array" ref="Q15">fsite2025(P$2,$F15,O15,ParamTable_SWC!$Y15,IF('SWC Model'!P$2="IV",ParamTable_SWC!$AC15,IF('SWC Model'!P$2="III",ParamTable_SWC!$AB15,IF('SWC Model'!P$2="II",ParamTable_SWC!$AA15,ParamTable_SWC!$Z15))))</f>
        <v>1.3200843370060003</v>
      </c>
      <c r="R15" s="112">
        <f t="shared" si="6"/>
        <v>0.55214319910450815</v>
      </c>
      <c r="S15" s="113">
        <f>ParamTable_SWC!$Q15*EXP(IF('SWC Model'!$T$2="IV",ParamTable_SWC!$T15,IF('SWC Model'!$T$2="III",ParamTable_SWC!$S15,IF('SWC Model'!$T$2="II",ParamTable_SWC!$R15,0))))</f>
        <v>1.6453448541046525</v>
      </c>
      <c r="T15" s="113">
        <f t="shared" si="7"/>
        <v>0.68818782702620129</v>
      </c>
      <c r="U15" s="113" cm="1">
        <f t="array" ref="U15">fsite2025(T$2,$F15,S15,ParamTable_SWC!$Y15,IF('SWC Model'!T$2="IV",ParamTable_SWC!$AC15,IF('SWC Model'!T$2="III",ParamTable_SWC!$AB15,IF('SWC Model'!T$2="II",ParamTable_SWC!$AA15,ParamTable_SWC!$Z15))))</f>
        <v>0.98316923076182572</v>
      </c>
      <c r="V15" s="113">
        <f t="shared" si="8"/>
        <v>0.4112238810174485</v>
      </c>
      <c r="Y15" s="13"/>
      <c r="Z15" s="13"/>
      <c r="AA15" s="13"/>
      <c r="AB15" s="13"/>
      <c r="AE15" s="13"/>
      <c r="AF15" s="13"/>
      <c r="AG15" s="13"/>
      <c r="AH15" s="13"/>
      <c r="AI15" s="13"/>
      <c r="AX15" s="3"/>
      <c r="BA15" s="3"/>
      <c r="BD15" s="3"/>
      <c r="BG15" s="3"/>
      <c r="BL15" s="3"/>
      <c r="BM15" s="3"/>
      <c r="CC15" s="3"/>
      <c r="CD15" s="3"/>
    </row>
    <row r="16" spans="1:96" x14ac:dyDescent="0.4">
      <c r="A16">
        <v>13</v>
      </c>
      <c r="B16" s="3">
        <f t="shared" si="0"/>
        <v>-1.9661128563728327</v>
      </c>
      <c r="C16" s="3">
        <v>0.14000000000000001</v>
      </c>
      <c r="D16" s="13">
        <f>fm_XN(B$2,D$2,J$2,ParamTable_SWC!E16,ParamTable_SWC!F16,ParamTable_SWC!G16,ParamTable_SWC!H16,ParamTable_SWC!I16,ParamTable_SWC!J16,ParamTable_SWC!K16)</f>
        <v>9.6769333</v>
      </c>
      <c r="E16">
        <f>fp_XN($F$2,$B$2,ParamTable_SWC!$C16,ParamTable_SWC!$D16,ParamTable_SWC!$L16,ParamTable_SWC!$M16,ParamTable_SWC!$N16,ParamTable_SWC!$O16,ParamTable_SWC!$P16)</f>
        <v>-10.384223811610935</v>
      </c>
      <c r="F16" s="13">
        <f>EXP(D16+E16)/ParamTable_SWC!Q16</f>
        <v>0.38779031464634423</v>
      </c>
      <c r="G16" s="108">
        <f>ParamTable_SWC!$Q16*EXP(IF('SWC Model'!$H$2="IV",ParamTable_SWC!$T16,IF('SWC Model'!$H$2="III",ParamTable_SWC!$S16,IF('SWC Model'!$H$2="II",ParamTable_SWC!$R16,0))))</f>
        <v>1.2712491503214047</v>
      </c>
      <c r="H16" s="108">
        <f t="shared" si="1"/>
        <v>0.49297810799703529</v>
      </c>
      <c r="I16" s="108" cm="1">
        <f t="array" ref="I16">fsite2025(H$2,$F16,G16,ParamTable_SWC!$Y16,IF('SWC Model'!H$2="IV",ParamTable_SWC!$AC16,IF('SWC Model'!H$2="III",ParamTable_SWC!$AB16,IF('SWC Model'!H$2="II",ParamTable_SWC!$AA16,ParamTable_SWC!$Z16))))</f>
        <v>1.2712491503214047</v>
      </c>
      <c r="J16" s="108">
        <f t="shared" si="2"/>
        <v>0.49297810799703529</v>
      </c>
      <c r="K16" s="109">
        <f>ParamTable_SWC!$Q16*EXP(IF('SWC Model'!$L$2="IV",ParamTable_SWC!$T16,IF('SWC Model'!$L$2="III",ParamTable_SWC!$S16,IF('SWC Model'!$L$2="II",ParamTable_SWC!$R16,0))))</f>
        <v>1.7350912401520266</v>
      </c>
      <c r="L16" s="109">
        <f t="shared" si="3"/>
        <v>0.67285157795867001</v>
      </c>
      <c r="M16" s="109" cm="1">
        <f t="array" ref="M16">fsite2025(L$2,$F16,K16,ParamTable_SWC!$Y16,IF('SWC Model'!L$2="IV",ParamTable_SWC!$AC16,IF('SWC Model'!L$2="III",ParamTable_SWC!$AB16,IF('SWC Model'!L$2="II",ParamTable_SWC!$AA16,ParamTable_SWC!$Z16))))</f>
        <v>1.5230300575041489</v>
      </c>
      <c r="N16" s="109">
        <f t="shared" si="4"/>
        <v>0.59061630521537367</v>
      </c>
      <c r="O16" s="112">
        <f>ParamTable_SWC!$Q16*EXP(IF('SWC Model'!$P$2="IV",ParamTable_SWC!$T16,IF('SWC Model'!$P$2="III",ParamTable_SWC!$S16,IF('SWC Model'!$P$2="II",ParamTable_SWC!$R16,0))))</f>
        <v>1.9972874799861831</v>
      </c>
      <c r="P16" s="112">
        <f t="shared" si="5"/>
        <v>0.77452874030304586</v>
      </c>
      <c r="Q16" s="112" cm="1">
        <f t="array" ref="Q16">fsite2025(P$2,$F16,O16,ParamTable_SWC!$Y16,IF('SWC Model'!P$2="IV",ParamTable_SWC!$AC16,IF('SWC Model'!P$2="III",ParamTable_SWC!$AB16,IF('SWC Model'!P$2="II",ParamTable_SWC!$AA16,ParamTable_SWC!$Z16))))</f>
        <v>1.4481933041369826</v>
      </c>
      <c r="R16" s="112">
        <f t="shared" si="6"/>
        <v>0.5615953370800093</v>
      </c>
      <c r="S16" s="113">
        <f>ParamTable_SWC!$Q16*EXP(IF('SWC Model'!$T$2="IV",ParamTable_SWC!$T16,IF('SWC Model'!$T$2="III",ParamTable_SWC!$S16,IF('SWC Model'!$T$2="II",ParamTable_SWC!$R16,0))))</f>
        <v>1.7940398924794621</v>
      </c>
      <c r="T16" s="113">
        <f t="shared" si="7"/>
        <v>0.69571129439270418</v>
      </c>
      <c r="U16" s="113" cm="1">
        <f t="array" ref="U16">fsite2025(T$2,$F16,S16,ParamTable_SWC!$Y16,IF('SWC Model'!T$2="IV",ParamTable_SWC!$AC16,IF('SWC Model'!T$2="III",ParamTable_SWC!$AB16,IF('SWC Model'!T$2="II",ParamTable_SWC!$AA16,ParamTable_SWC!$Z16))))</f>
        <v>1.0917002556404749</v>
      </c>
      <c r="V16" s="113">
        <f t="shared" si="8"/>
        <v>0.42335078563431416</v>
      </c>
      <c r="Y16" s="13"/>
      <c r="Z16" s="13"/>
      <c r="AA16" s="13"/>
      <c r="AB16" s="13"/>
      <c r="AE16" s="13"/>
      <c r="AF16" s="13"/>
      <c r="AG16" s="13"/>
      <c r="AH16" s="13"/>
      <c r="AI16" s="13"/>
      <c r="AX16" s="3"/>
      <c r="BA16" s="3"/>
      <c r="BD16" s="3"/>
      <c r="BG16" s="3"/>
      <c r="BL16" s="3"/>
      <c r="BM16" s="3"/>
      <c r="CC16" s="3"/>
      <c r="CD16" s="3"/>
    </row>
    <row r="17" spans="1:82" x14ac:dyDescent="0.4">
      <c r="A17">
        <v>14</v>
      </c>
      <c r="B17" s="3">
        <f t="shared" si="0"/>
        <v>-1.8971199848858813</v>
      </c>
      <c r="C17" s="3">
        <v>0.15</v>
      </c>
      <c r="D17" s="13">
        <f>fm_XN(B$2,D$2,J$2,ParamTable_SWC!E17,ParamTable_SWC!F17,ParamTable_SWC!G17,ParamTable_SWC!H17,ParamTable_SWC!I17,ParamTable_SWC!J17,ParamTable_SWC!K17)</f>
        <v>9.5744249000000003</v>
      </c>
      <c r="E17">
        <f>fp_XN($F$2,$B$2,ParamTable_SWC!$C17,ParamTable_SWC!$D17,ParamTable_SWC!$L17,ParamTable_SWC!$M17,ParamTable_SWC!$N17,ParamTable_SWC!$O17,ParamTable_SWC!$P17)</f>
        <v>-10.311315837797244</v>
      </c>
      <c r="F17" s="13">
        <f>EXP(D17+E17)/ParamTable_SWC!Q17</f>
        <v>0.37050403715625796</v>
      </c>
      <c r="G17" s="108">
        <f>ParamTable_SWC!$Q17*EXP(IF('SWC Model'!$H$2="IV",ParamTable_SWC!$T17,IF('SWC Model'!$H$2="III",ParamTable_SWC!$S17,IF('SWC Model'!$H$2="II",ParamTable_SWC!$R17,0))))</f>
        <v>1.2917527279397041</v>
      </c>
      <c r="H17" s="108">
        <f t="shared" si="1"/>
        <v>0.47859960070926971</v>
      </c>
      <c r="I17" s="108" cm="1">
        <f t="array" ref="I17">fsite2025(H$2,$F17,G17,ParamTable_SWC!$Y17,IF('SWC Model'!H$2="IV",ParamTable_SWC!$AC17,IF('SWC Model'!H$2="III",ParamTable_SWC!$AB17,IF('SWC Model'!H$2="II",ParamTable_SWC!$AA17,ParamTable_SWC!$Z17))))</f>
        <v>1.2917527279397041</v>
      </c>
      <c r="J17" s="108">
        <f t="shared" si="2"/>
        <v>0.47859960070926971</v>
      </c>
      <c r="K17" s="109">
        <f>ParamTable_SWC!$Q17*EXP(IF('SWC Model'!$L$2="IV",ParamTable_SWC!$T17,IF('SWC Model'!$L$2="III",ParamTable_SWC!$S17,IF('SWC Model'!$L$2="II",ParamTable_SWC!$R17,0))))</f>
        <v>1.8023114860645417</v>
      </c>
      <c r="L17" s="109">
        <f t="shared" si="3"/>
        <v>0.66776368180000745</v>
      </c>
      <c r="M17" s="109" cm="1">
        <f t="array" ref="M17">fsite2025(L$2,$F17,K17,ParamTable_SWC!$Y17,IF('SWC Model'!L$2="IV",ParamTable_SWC!$AC17,IF('SWC Model'!L$2="III",ParamTable_SWC!$AB17,IF('SWC Model'!L$2="II",ParamTable_SWC!$AA17,ParamTable_SWC!$Z17))))</f>
        <v>1.5909308132278293</v>
      </c>
      <c r="N17" s="109">
        <f t="shared" si="4"/>
        <v>0.58944628913719932</v>
      </c>
      <c r="O17" s="112">
        <f>ParamTable_SWC!$Q17*EXP(IF('SWC Model'!$P$2="IV",ParamTable_SWC!$T17,IF('SWC Model'!$P$2="III",ParamTable_SWC!$S17,IF('SWC Model'!$P$2="II",ParamTable_SWC!$R17,0))))</f>
        <v>2.0812527581854314</v>
      </c>
      <c r="P17" s="112">
        <f t="shared" si="5"/>
        <v>0.77111254925029948</v>
      </c>
      <c r="Q17" s="112" cm="1">
        <f t="array" ref="Q17">fsite2025(P$2,$F17,O17,ParamTable_SWC!$Y17,IF('SWC Model'!P$2="IV",ParamTable_SWC!$AC17,IF('SWC Model'!P$2="III",ParamTable_SWC!$AB17,IF('SWC Model'!P$2="II",ParamTable_SWC!$AA17,ParamTable_SWC!$Z17))))</f>
        <v>1.5248005250256789</v>
      </c>
      <c r="R17" s="112">
        <f t="shared" si="6"/>
        <v>0.56494475037999581</v>
      </c>
      <c r="S17" s="113">
        <f>ParamTable_SWC!$Q17*EXP(IF('SWC Model'!$T$2="IV",ParamTable_SWC!$T17,IF('SWC Model'!$T$2="III",ParamTable_SWC!$S17,IF('SWC Model'!$T$2="II",ParamTable_SWC!$R17,0))))</f>
        <v>1.8783617737249252</v>
      </c>
      <c r="T17" s="113">
        <f t="shared" si="7"/>
        <v>0.69594062040507432</v>
      </c>
      <c r="U17" s="113" cm="1">
        <f t="array" ref="U17">fsite2025(T$2,$F17,S17,ParamTable_SWC!$Y17,IF('SWC Model'!T$2="IV",ParamTable_SWC!$AC17,IF('SWC Model'!T$2="III",ParamTable_SWC!$AB17,IF('SWC Model'!T$2="II",ParamTable_SWC!$AA17,ParamTable_SWC!$Z17))))</f>
        <v>1.1563177693256381</v>
      </c>
      <c r="V17" s="113">
        <f t="shared" si="8"/>
        <v>0.42842040177066754</v>
      </c>
      <c r="Y17" s="13"/>
      <c r="Z17" s="13"/>
      <c r="AA17" s="13"/>
      <c r="AB17" s="13"/>
      <c r="AE17" s="13"/>
      <c r="AF17" s="13"/>
      <c r="AG17" s="13"/>
      <c r="AH17" s="13"/>
      <c r="AI17" s="13"/>
      <c r="AX17" s="3"/>
      <c r="BA17" s="3"/>
      <c r="BD17" s="3"/>
      <c r="BG17" s="3"/>
      <c r="BL17" s="3"/>
      <c r="BM17" s="3"/>
      <c r="CC17" s="3"/>
      <c r="CD17" s="3"/>
    </row>
    <row r="18" spans="1:82" x14ac:dyDescent="0.4">
      <c r="A18">
        <v>15</v>
      </c>
      <c r="B18" s="3">
        <f t="shared" si="0"/>
        <v>-1.8325814637483102</v>
      </c>
      <c r="C18" s="3">
        <v>0.16</v>
      </c>
      <c r="D18" s="13">
        <f>fm_XN(B$2,D$2,J$2,ParamTable_SWC!E18,ParamTable_SWC!F18,ParamTable_SWC!G18,ParamTable_SWC!H18,ParamTable_SWC!I18,ParamTable_SWC!J18,ParamTable_SWC!K18)</f>
        <v>9.4859960000000001</v>
      </c>
      <c r="E18">
        <f>fp_XN($F$2,$B$2,ParamTable_SWC!$C18,ParamTable_SWC!$D18,ParamTable_SWC!$L18,ParamTable_SWC!$M18,ParamTable_SWC!$N18,ParamTable_SWC!$O18,ParamTable_SWC!$P18)</f>
        <v>-10.254612866097757</v>
      </c>
      <c r="F18" s="13">
        <f>EXP(D18+E18)/ParamTable_SWC!Q18</f>
        <v>0.3528836548280328</v>
      </c>
      <c r="G18" s="108">
        <f>ParamTable_SWC!$Q18*EXP(IF('SWC Model'!$H$2="IV",ParamTable_SWC!$T18,IF('SWC Model'!$H$2="III",ParamTable_SWC!$S18,IF('SWC Model'!$H$2="II",ParamTable_SWC!$R18,0))))</f>
        <v>1.3139002448247392</v>
      </c>
      <c r="H18" s="108">
        <f t="shared" si="1"/>
        <v>0.46365392047320109</v>
      </c>
      <c r="I18" s="108" cm="1">
        <f t="array" ref="I18">fsite2025(H$2,$F18,G18,ParamTable_SWC!$Y18,IF('SWC Model'!H$2="IV",ParamTable_SWC!$AC18,IF('SWC Model'!H$2="III",ParamTable_SWC!$AB18,IF('SWC Model'!H$2="II",ParamTable_SWC!$AA18,ParamTable_SWC!$Z18))))</f>
        <v>1.3139002448247392</v>
      </c>
      <c r="J18" s="108">
        <f t="shared" si="2"/>
        <v>0.46365392047320109</v>
      </c>
      <c r="K18" s="109">
        <f>ParamTable_SWC!$Q18*EXP(IF('SWC Model'!$L$2="IV",ParamTable_SWC!$T18,IF('SWC Model'!$L$2="III",ParamTable_SWC!$S18,IF('SWC Model'!$L$2="II",ParamTable_SWC!$R18,0))))</f>
        <v>1.8731097170691564</v>
      </c>
      <c r="L18" s="109">
        <f t="shared" si="3"/>
        <v>0.66098980285326636</v>
      </c>
      <c r="M18" s="109" cm="1">
        <f t="array" ref="M18">fsite2025(L$2,$F18,K18,ParamTable_SWC!$Y18,IF('SWC Model'!L$2="IV",ParamTable_SWC!$AC18,IF('SWC Model'!L$2="III",ParamTable_SWC!$AB18,IF('SWC Model'!L$2="II",ParamTable_SWC!$AA18,ParamTable_SWC!$Z18))))</f>
        <v>1.6639697781713378</v>
      </c>
      <c r="N18" s="109">
        <f t="shared" si="4"/>
        <v>0.58718773684449266</v>
      </c>
      <c r="O18" s="112">
        <f>ParamTable_SWC!$Q18*EXP(IF('SWC Model'!$P$2="IV",ParamTable_SWC!$T18,IF('SWC Model'!$P$2="III",ParamTable_SWC!$S18,IF('SWC Model'!$P$2="II",ParamTable_SWC!$R18,0))))</f>
        <v>2.1627704162869197</v>
      </c>
      <c r="P18" s="112">
        <f t="shared" si="5"/>
        <v>0.76320632905327412</v>
      </c>
      <c r="Q18" s="112" cm="1">
        <f t="array" ref="Q18">fsite2025(P$2,$F18,O18,ParamTable_SWC!$Y18,IF('SWC Model'!P$2="IV",ParamTable_SWC!$AC18,IF('SWC Model'!P$2="III",ParamTable_SWC!$AB18,IF('SWC Model'!P$2="II",ParamTable_SWC!$AA18,ParamTable_SWC!$Z18))))</f>
        <v>1.6027154246649282</v>
      </c>
      <c r="R18" s="112">
        <f t="shared" si="6"/>
        <v>0.56557207670502252</v>
      </c>
      <c r="S18" s="113">
        <f>ParamTable_SWC!$Q18*EXP(IF('SWC Model'!$T$2="IV",ParamTable_SWC!$T18,IF('SWC Model'!$T$2="III",ParamTable_SWC!$S18,IF('SWC Model'!$T$2="II",ParamTable_SWC!$R18,0))))</f>
        <v>1.9688507561317781</v>
      </c>
      <c r="T18" s="113">
        <f t="shared" si="7"/>
        <v>0.69477525063471779</v>
      </c>
      <c r="U18" s="113" cm="1">
        <f t="array" ref="U18">fsite2025(T$2,$F18,S18,ParamTable_SWC!$Y18,IF('SWC Model'!T$2="IV",ParamTable_SWC!$AC18,IF('SWC Model'!T$2="III",ParamTable_SWC!$AB18,IF('SWC Model'!T$2="II",ParamTable_SWC!$AA18,ParamTable_SWC!$Z18))))</f>
        <v>1.2238945803226016</v>
      </c>
      <c r="V18" s="113">
        <f t="shared" si="8"/>
        <v>0.43189239262846102</v>
      </c>
      <c r="Y18" s="13"/>
      <c r="Z18" s="13"/>
      <c r="AA18" s="13"/>
      <c r="AB18" s="13"/>
      <c r="AE18" s="13"/>
      <c r="AF18" s="13"/>
      <c r="AG18" s="13"/>
      <c r="AH18" s="13"/>
      <c r="AI18" s="13"/>
      <c r="AX18" s="3"/>
      <c r="BA18" s="3"/>
      <c r="BD18" s="3"/>
      <c r="BG18" s="3"/>
      <c r="BL18" s="3"/>
      <c r="BM18" s="3"/>
      <c r="CC18" s="3"/>
      <c r="CD18" s="3"/>
    </row>
    <row r="19" spans="1:82" x14ac:dyDescent="0.4">
      <c r="A19">
        <v>16</v>
      </c>
      <c r="B19" s="3">
        <f t="shared" si="0"/>
        <v>-1.7147984280919266</v>
      </c>
      <c r="C19" s="3">
        <v>0.18</v>
      </c>
      <c r="D19" s="13">
        <f>fm_XN(B$2,D$2,J$2,ParamTable_SWC!E19,ParamTable_SWC!F19,ParamTable_SWC!G19,ParamTable_SWC!H19,ParamTable_SWC!I19,ParamTable_SWC!J19,ParamTable_SWC!K19)</f>
        <v>9.3371809999999993</v>
      </c>
      <c r="E19">
        <f>fp_XN($F$2,$B$2,ParamTable_SWC!$C19,ParamTable_SWC!$D19,ParamTable_SWC!$L19,ParamTable_SWC!$M19,ParamTable_SWC!$N19,ParamTable_SWC!$O19,ParamTable_SWC!$P19)</f>
        <v>-10.162152412071601</v>
      </c>
      <c r="F19" s="13">
        <f>EXP(D19+E19)/ParamTable_SWC!Q19</f>
        <v>0.32466174863250657</v>
      </c>
      <c r="G19" s="108">
        <f>ParamTable_SWC!$Q19*EXP(IF('SWC Model'!$H$2="IV",ParamTable_SWC!$T19,IF('SWC Model'!$H$2="III",ParamTable_SWC!$S19,IF('SWC Model'!$H$2="II",ParamTable_SWC!$R19,0))))</f>
        <v>1.3498588075760032</v>
      </c>
      <c r="H19" s="108">
        <f t="shared" si="1"/>
        <v>0.43824752087461538</v>
      </c>
      <c r="I19" s="108" cm="1">
        <f t="array" ref="I19">fsite2025(H$2,$F19,G19,ParamTable_SWC!$Y19,IF('SWC Model'!H$2="IV",ParamTable_SWC!$AC19,IF('SWC Model'!H$2="III",ParamTable_SWC!$AB19,IF('SWC Model'!H$2="II",ParamTable_SWC!$AA19,ParamTable_SWC!$Z19))))</f>
        <v>1.3498588075760032</v>
      </c>
      <c r="J19" s="108">
        <f t="shared" si="2"/>
        <v>0.43824752087461538</v>
      </c>
      <c r="K19" s="109">
        <f>ParamTable_SWC!$Q19*EXP(IF('SWC Model'!$L$2="IV",ParamTable_SWC!$T19,IF('SWC Model'!$L$2="III",ParamTable_SWC!$S19,IF('SWC Model'!$L$2="II",ParamTable_SWC!$R19,0))))</f>
        <v>1.992579439206694</v>
      </c>
      <c r="L19" s="109">
        <f t="shared" si="3"/>
        <v>0.64691432502202462</v>
      </c>
      <c r="M19" s="109" cm="1">
        <f t="array" ref="M19">fsite2025(L$2,$F19,K19,ParamTable_SWC!$Y19,IF('SWC Model'!L$2="IV",ParamTable_SWC!$AC19,IF('SWC Model'!L$2="III",ParamTable_SWC!$AB19,IF('SWC Model'!L$2="II",ParamTable_SWC!$AA19,ParamTable_SWC!$Z19))))</f>
        <v>1.7922002917351483</v>
      </c>
      <c r="N19" s="109">
        <f t="shared" si="4"/>
        <v>0.5818588806144217</v>
      </c>
      <c r="O19" s="112">
        <f>ParamTable_SWC!$Q19*EXP(IF('SWC Model'!$P$2="IV",ParamTable_SWC!$T19,IF('SWC Model'!$P$2="III",ParamTable_SWC!$S19,IF('SWC Model'!$P$2="II",ParamTable_SWC!$R19,0))))</f>
        <v>2.3243025138753479</v>
      </c>
      <c r="P19" s="112">
        <f t="shared" si="5"/>
        <v>0.75461211850570131</v>
      </c>
      <c r="Q19" s="112" cm="1">
        <f t="array" ref="Q19">fsite2025(P$2,$F19,O19,ParamTable_SWC!$Y19,IF('SWC Model'!P$2="IV",ParamTable_SWC!$AC19,IF('SWC Model'!P$2="III",ParamTable_SWC!$AB19,IF('SWC Model'!P$2="II",ParamTable_SWC!$AA19,ParamTable_SWC!$Z19))))</f>
        <v>1.7597162150639309</v>
      </c>
      <c r="R19" s="112">
        <f t="shared" si="6"/>
        <v>0.57131254347963178</v>
      </c>
      <c r="S19" s="113">
        <f>ParamTable_SWC!$Q19*EXP(IF('SWC Model'!$T$2="IV",ParamTable_SWC!$T19,IF('SWC Model'!$T$2="III",ParamTable_SWC!$S19,IF('SWC Model'!$T$2="II",ParamTable_SWC!$R19,0))))</f>
        <v>2.1447650230163213</v>
      </c>
      <c r="T19" s="113">
        <f t="shared" si="7"/>
        <v>0.69632316277831707</v>
      </c>
      <c r="U19" s="113" cm="1">
        <f t="array" ref="U19">fsite2025(T$2,$F19,S19,ParamTable_SWC!$Y19,IF('SWC Model'!T$2="IV",ParamTable_SWC!$AC19,IF('SWC Model'!T$2="III",ParamTable_SWC!$AB19,IF('SWC Model'!T$2="II",ParamTable_SWC!$AA19,ParamTable_SWC!$Z19))))</f>
        <v>1.3534245123950102</v>
      </c>
      <c r="V19" s="113">
        <f t="shared" si="8"/>
        <v>0.43940516883626157</v>
      </c>
      <c r="Y19" s="13"/>
      <c r="Z19" s="13"/>
      <c r="AA19" s="13"/>
      <c r="AB19" s="13"/>
      <c r="AE19" s="13"/>
      <c r="AF19" s="13"/>
      <c r="AG19" s="13"/>
      <c r="AH19" s="13"/>
      <c r="AI19" s="13"/>
      <c r="AX19" s="3"/>
      <c r="BA19" s="3"/>
      <c r="BD19" s="3"/>
      <c r="BG19" s="3"/>
      <c r="BL19" s="3"/>
      <c r="BM19" s="3"/>
      <c r="CC19" s="3"/>
      <c r="CD19" s="3"/>
    </row>
    <row r="20" spans="1:82" x14ac:dyDescent="0.4">
      <c r="A20">
        <v>17</v>
      </c>
      <c r="B20" s="3">
        <f t="shared" si="0"/>
        <v>-1.6094379124341003</v>
      </c>
      <c r="C20" s="3">
        <v>0.2</v>
      </c>
      <c r="D20" s="13">
        <f>fm_XN(B$2,D$2,J$2,ParamTable_SWC!E20,ParamTable_SWC!F20,ParamTable_SWC!G20,ParamTable_SWC!H20,ParamTable_SWC!I20,ParamTable_SWC!J20,ParamTable_SWC!K20)</f>
        <v>9.230447100000001</v>
      </c>
      <c r="E20">
        <f>fp_XN($F$2,$B$2,ParamTable_SWC!$C20,ParamTable_SWC!$D20,ParamTable_SWC!$L20,ParamTable_SWC!$M20,ParamTable_SWC!$N20,ParamTable_SWC!$O20,ParamTable_SWC!$P20)</f>
        <v>-10.113218537951068</v>
      </c>
      <c r="F20" s="13">
        <f>EXP(D20+E20)/ParamTable_SWC!Q20</f>
        <v>0.29976050555934669</v>
      </c>
      <c r="G20" s="108">
        <f>ParamTable_SWC!$Q20*EXP(IF('SWC Model'!$H$2="IV",ParamTable_SWC!$T20,IF('SWC Model'!$H$2="III",ParamTable_SWC!$S20,IF('SWC Model'!$H$2="II",ParamTable_SWC!$R20,0))))</f>
        <v>1.3798847759572466</v>
      </c>
      <c r="H20" s="108">
        <f t="shared" si="1"/>
        <v>0.41363495805459005</v>
      </c>
      <c r="I20" s="108" cm="1">
        <f t="array" ref="I20">fsite2025(H$2,$F20,G20,ParamTable_SWC!$Y20,IF('SWC Model'!H$2="IV",ParamTable_SWC!$AC20,IF('SWC Model'!H$2="III",ParamTable_SWC!$AB20,IF('SWC Model'!H$2="II",ParamTable_SWC!$AA20,ParamTable_SWC!$Z20))))</f>
        <v>1.3798847759572466</v>
      </c>
      <c r="J20" s="108">
        <f t="shared" si="2"/>
        <v>0.41363495805459005</v>
      </c>
      <c r="K20" s="109">
        <f>ParamTable_SWC!$Q20*EXP(IF('SWC Model'!$L$2="IV",ParamTable_SWC!$T20,IF('SWC Model'!$L$2="III",ParamTable_SWC!$S20,IF('SWC Model'!$L$2="II",ParamTable_SWC!$R20,0))))</f>
        <v>2.0975290309449304</v>
      </c>
      <c r="L20" s="109">
        <f t="shared" si="3"/>
        <v>0.62875636274145885</v>
      </c>
      <c r="M20" s="109" cm="1">
        <f t="array" ref="M20">fsite2025(L$2,$F20,K20,ParamTable_SWC!$Y20,IF('SWC Model'!L$2="IV",ParamTable_SWC!$AC20,IF('SWC Model'!L$2="III",ParamTable_SWC!$AB20,IF('SWC Model'!L$2="II",ParamTable_SWC!$AA20,ParamTable_SWC!$Z20))))</f>
        <v>1.910801916057197</v>
      </c>
      <c r="N20" s="109">
        <f t="shared" si="4"/>
        <v>0.57278294838107369</v>
      </c>
      <c r="O20" s="112">
        <f>ParamTable_SWC!$Q20*EXP(IF('SWC Model'!$P$2="IV",ParamTable_SWC!$T20,IF('SWC Model'!$P$2="III",ParamTable_SWC!$S20,IF('SWC Model'!$P$2="II",ParamTable_SWC!$R20,0))))</f>
        <v>2.4696093988072105</v>
      </c>
      <c r="P20" s="112">
        <f t="shared" si="5"/>
        <v>0.74029136192056366</v>
      </c>
      <c r="Q20" s="112" cm="1">
        <f t="array" ref="Q20">fsite2025(P$2,$F20,O20,ParamTable_SWC!$Y20,IF('SWC Model'!P$2="IV",ParamTable_SWC!$AC20,IF('SWC Model'!P$2="III",ParamTable_SWC!$AB20,IF('SWC Model'!P$2="II",ParamTable_SWC!$AA20,ParamTable_SWC!$Z20))))</f>
        <v>1.9124039841368952</v>
      </c>
      <c r="R20" s="112">
        <f t="shared" si="6"/>
        <v>0.57326318511858454</v>
      </c>
      <c r="S20" s="113">
        <f>ParamTable_SWC!$Q20*EXP(IF('SWC Model'!$T$2="IV",ParamTable_SWC!$T20,IF('SWC Model'!$T$2="III",ParamTable_SWC!$S20,IF('SWC Model'!$T$2="II",ParamTable_SWC!$R20,0))))</f>
        <v>2.3163438132271419</v>
      </c>
      <c r="T20" s="113">
        <f t="shared" si="7"/>
        <v>0.69434839250223301</v>
      </c>
      <c r="U20" s="113" cm="1">
        <f t="array" ref="U20">fsite2025(T$2,$F20,S20,ParamTable_SWC!$Y20,IF('SWC Model'!T$2="IV",ParamTable_SWC!$AC20,IF('SWC Model'!T$2="III",ParamTable_SWC!$AB20,IF('SWC Model'!T$2="II",ParamTable_SWC!$AA20,ParamTable_SWC!$Z20))))</f>
        <v>1.4852486271180261</v>
      </c>
      <c r="V20" s="113">
        <f t="shared" si="8"/>
        <v>0.44521887934622512</v>
      </c>
      <c r="Y20" s="13"/>
      <c r="Z20" s="13"/>
      <c r="AA20" s="13"/>
      <c r="AB20" s="13"/>
      <c r="AE20" s="13"/>
      <c r="AF20" s="13"/>
      <c r="AG20" s="13"/>
      <c r="AH20" s="13"/>
      <c r="AI20" s="13"/>
      <c r="AX20" s="3"/>
      <c r="BA20" s="3"/>
      <c r="BD20" s="3"/>
      <c r="BG20" s="3"/>
      <c r="BL20" s="3"/>
      <c r="BM20" s="3"/>
      <c r="CC20" s="3"/>
      <c r="CD20" s="3"/>
    </row>
    <row r="21" spans="1:82" x14ac:dyDescent="0.4">
      <c r="A21">
        <v>18</v>
      </c>
      <c r="B21" s="3">
        <f t="shared" si="0"/>
        <v>-1.3862943611198906</v>
      </c>
      <c r="C21" s="3">
        <v>0.25</v>
      </c>
      <c r="D21" s="13">
        <f>fm_XN(B$2,D$2,J$2,ParamTable_SWC!E21,ParamTable_SWC!F21,ParamTable_SWC!G21,ParamTable_SWC!H21,ParamTable_SWC!I21,ParamTable_SWC!J21,ParamTable_SWC!K21)</f>
        <v>9.0787478999999998</v>
      </c>
      <c r="E21">
        <f>fp_XN($F$2,$B$2,ParamTable_SWC!$C21,ParamTable_SWC!$D21,ParamTable_SWC!$L21,ParamTable_SWC!$M21,ParamTable_SWC!$N21,ParamTable_SWC!$O21,ParamTable_SWC!$P21)</f>
        <v>-10.106639355122434</v>
      </c>
      <c r="F21" s="13">
        <f>EXP(D21+E21)/ParamTable_SWC!Q21</f>
        <v>0.25135438200400034</v>
      </c>
      <c r="G21" s="108">
        <f>ParamTable_SWC!$Q21*EXP(IF('SWC Model'!$H$2="IV",ParamTable_SWC!$T21,IF('SWC Model'!$H$2="III",ParamTable_SWC!$S21,IF('SWC Model'!$H$2="II",ParamTable_SWC!$R21,0))))</f>
        <v>1.4233311434336018</v>
      </c>
      <c r="H21" s="108">
        <f t="shared" si="1"/>
        <v>0.35776051994480013</v>
      </c>
      <c r="I21" s="108" cm="1">
        <f t="array" ref="I21">fsite2025(H$2,$F21,G21,ParamTable_SWC!$Y21,IF('SWC Model'!H$2="IV",ParamTable_SWC!$AC21,IF('SWC Model'!H$2="III",ParamTable_SWC!$AB21,IF('SWC Model'!H$2="II",ParamTable_SWC!$AA21,ParamTable_SWC!$Z21))))</f>
        <v>1.4233311434336018</v>
      </c>
      <c r="J21" s="108">
        <f t="shared" si="2"/>
        <v>0.35776051994480013</v>
      </c>
      <c r="K21" s="109">
        <f>ParamTable_SWC!$Q21*EXP(IF('SWC Model'!$L$2="IV",ParamTable_SWC!$T21,IF('SWC Model'!$L$2="III",ParamTable_SWC!$S21,IF('SWC Model'!$L$2="II",ParamTable_SWC!$R21,0))))</f>
        <v>2.2509897311311589</v>
      </c>
      <c r="L21" s="109">
        <f t="shared" si="3"/>
        <v>0.5657961327658233</v>
      </c>
      <c r="M21" s="109" cm="1">
        <f t="array" ref="M21">fsite2025(L$2,$F21,K21,ParamTable_SWC!$Y21,IF('SWC Model'!L$2="IV",ParamTable_SWC!$AC21,IF('SWC Model'!L$2="III",ParamTable_SWC!$AB21,IF('SWC Model'!L$2="II",ParamTable_SWC!$AA21,ParamTable_SWC!$Z21))))</f>
        <v>2.1148505945541785</v>
      </c>
      <c r="N21" s="109">
        <f t="shared" si="4"/>
        <v>0.53157696422495826</v>
      </c>
      <c r="O21" s="112">
        <f>ParamTable_SWC!$Q21*EXP(IF('SWC Model'!$P$2="IV",ParamTable_SWC!$T21,IF('SWC Model'!$P$2="III",ParamTable_SWC!$S21,IF('SWC Model'!$P$2="II",ParamTable_SWC!$R21,0))))</f>
        <v>2.7797194351455441</v>
      </c>
      <c r="P21" s="112">
        <f t="shared" si="5"/>
        <v>0.69869466076551712</v>
      </c>
      <c r="Q21" s="112" cm="1">
        <f t="array" ref="Q21">fsite2025(P$2,$F21,O21,ParamTable_SWC!$Y21,IF('SWC Model'!P$2="IV",ParamTable_SWC!$AC21,IF('SWC Model'!P$2="III",ParamTable_SWC!$AB21,IF('SWC Model'!P$2="II",ParamTable_SWC!$AA21,ParamTable_SWC!$Z21))))</f>
        <v>2.2572359205357748</v>
      </c>
      <c r="R21" s="112">
        <f t="shared" si="6"/>
        <v>0.56736613984350048</v>
      </c>
      <c r="S21" s="113">
        <f>ParamTable_SWC!$Q21*EXP(IF('SWC Model'!$T$2="IV",ParamTable_SWC!$T21,IF('SWC Model'!$T$2="III",ParamTable_SWC!$S21,IF('SWC Model'!$T$2="II",ParamTable_SWC!$R21,0))))</f>
        <v>2.6716867112058083</v>
      </c>
      <c r="T21" s="113">
        <f t="shared" si="7"/>
        <v>0.67154016220343604</v>
      </c>
      <c r="U21" s="113" cm="1">
        <f t="array" ref="U21">fsite2025(T$2,$F21,S21,ParamTable_SWC!$Y21,IF('SWC Model'!T$2="IV",ParamTable_SWC!$AC21,IF('SWC Model'!T$2="III",ParamTable_SWC!$AB21,IF('SWC Model'!T$2="II",ParamTable_SWC!$AA21,ParamTable_SWC!$Z21))))</f>
        <v>1.7682328058683721</v>
      </c>
      <c r="V21" s="113">
        <f t="shared" si="8"/>
        <v>0.44445306415824415</v>
      </c>
      <c r="Y21" s="13"/>
      <c r="Z21" s="13"/>
      <c r="AA21" s="13"/>
      <c r="AB21" s="13"/>
      <c r="AE21" s="13"/>
      <c r="AF21" s="13"/>
      <c r="AG21" s="13"/>
      <c r="AH21" s="13"/>
      <c r="AI21" s="13"/>
      <c r="AX21" s="3"/>
      <c r="BA21" s="3"/>
      <c r="BD21" s="3"/>
      <c r="BG21" s="3"/>
      <c r="BL21" s="3"/>
      <c r="BM21" s="3"/>
      <c r="CC21" s="3"/>
      <c r="CD21" s="3"/>
    </row>
    <row r="22" spans="1:82" x14ac:dyDescent="0.4">
      <c r="A22">
        <v>19</v>
      </c>
      <c r="B22" s="3">
        <f t="shared" si="0"/>
        <v>-1.2039728043259361</v>
      </c>
      <c r="C22" s="3">
        <v>0.3</v>
      </c>
      <c r="D22" s="13">
        <f>fm_XN(B$2,D$2,J$2,ParamTable_SWC!E22,ParamTable_SWC!F22,ParamTable_SWC!G22,ParamTable_SWC!H22,ParamTable_SWC!I22,ParamTable_SWC!J22,ParamTable_SWC!K22)</f>
        <v>9.024065499999999</v>
      </c>
      <c r="E22">
        <f>fp_XN($F$2,$B$2,ParamTable_SWC!$C22,ParamTable_SWC!$D22,ParamTable_SWC!$L22,ParamTable_SWC!$M22,ParamTable_SWC!$N22,ParamTable_SWC!$O22,ParamTable_SWC!$P22)</f>
        <v>-10.162517424704129</v>
      </c>
      <c r="F22" s="13">
        <f>EXP(D22+E22)/ParamTable_SWC!Q22</f>
        <v>0.22459602730441966</v>
      </c>
      <c r="G22" s="108">
        <f>ParamTable_SWC!$Q22*EXP(IF('SWC Model'!$H$2="IV",ParamTable_SWC!$T22,IF('SWC Model'!$H$2="III",ParamTable_SWC!$S22,IF('SWC Model'!$H$2="II",ParamTable_SWC!$R22,0))))</f>
        <v>1.4261806542814801</v>
      </c>
      <c r="H22" s="108">
        <f t="shared" si="1"/>
        <v>0.3203145091700384</v>
      </c>
      <c r="I22" s="108" cm="1">
        <f t="array" ref="I22">fsite2025(H$2,$F22,G22,ParamTable_SWC!$Y22,IF('SWC Model'!H$2="IV",ParamTable_SWC!$AC22,IF('SWC Model'!H$2="III",ParamTable_SWC!$AB22,IF('SWC Model'!H$2="II",ParamTable_SWC!$AA22,ParamTable_SWC!$Z22))))</f>
        <v>1.4261806542814801</v>
      </c>
      <c r="J22" s="108">
        <f t="shared" si="2"/>
        <v>0.3203145091700384</v>
      </c>
      <c r="K22" s="109">
        <f>ParamTable_SWC!$Q22*EXP(IF('SWC Model'!$L$2="IV",ParamTable_SWC!$T22,IF('SWC Model'!$L$2="III",ParamTable_SWC!$S22,IF('SWC Model'!$L$2="II",ParamTable_SWC!$R22,0))))</f>
        <v>2.261571668215856</v>
      </c>
      <c r="L22" s="109">
        <f t="shared" si="3"/>
        <v>0.50794001214551032</v>
      </c>
      <c r="M22" s="109" cm="1">
        <f t="array" ref="M22">fsite2025(L$2,$F22,K22,ParamTable_SWC!$Y22,IF('SWC Model'!L$2="IV",ParamTable_SWC!$AC22,IF('SWC Model'!L$2="III",ParamTable_SWC!$AB22,IF('SWC Model'!L$2="II",ParamTable_SWC!$AA22,ParamTable_SWC!$Z22))))</f>
        <v>2.174250763319066</v>
      </c>
      <c r="N22" s="109">
        <f t="shared" si="4"/>
        <v>0.48832808380506421</v>
      </c>
      <c r="O22" s="112">
        <f>ParamTable_SWC!$Q22*EXP(IF('SWC Model'!$P$2="IV",ParamTable_SWC!$T22,IF('SWC Model'!$P$2="III",ParamTable_SWC!$S22,IF('SWC Model'!$P$2="II",ParamTable_SWC!$R22,0))))</f>
        <v>2.9087981819975939</v>
      </c>
      <c r="P22" s="112">
        <f t="shared" si="5"/>
        <v>0.65330451590697791</v>
      </c>
      <c r="Q22" s="112" cm="1">
        <f t="array" ref="Q22">fsite2025(P$2,$F22,O22,ParamTable_SWC!$Y22,IF('SWC Model'!P$2="IV",ParamTable_SWC!$AC22,IF('SWC Model'!P$2="III",ParamTable_SWC!$AB22,IF('SWC Model'!P$2="II",ParamTable_SWC!$AA22,ParamTable_SWC!$Z22))))</f>
        <v>2.4376511796230491</v>
      </c>
      <c r="R22" s="112">
        <f t="shared" si="6"/>
        <v>0.54748677089726916</v>
      </c>
      <c r="S22" s="113">
        <f>ParamTable_SWC!$Q22*EXP(IF('SWC Model'!$T$2="IV",ParamTable_SWC!$T22,IF('SWC Model'!$T$2="III",ParamTable_SWC!$S22,IF('SWC Model'!$T$2="II",ParamTable_SWC!$R22,0))))</f>
        <v>2.9388548539075292</v>
      </c>
      <c r="T22" s="113">
        <f t="shared" si="7"/>
        <v>0.66005512501194163</v>
      </c>
      <c r="U22" s="113" cm="1">
        <f t="array" ref="U22">fsite2025(T$2,$F22,S22,ParamTable_SWC!$Y22,IF('SWC Model'!T$2="IV",ParamTable_SWC!$AC22,IF('SWC Model'!T$2="III",ParamTable_SWC!$AB22,IF('SWC Model'!T$2="II",ParamTable_SWC!$AA22,ParamTable_SWC!$Z22))))</f>
        <v>1.9854178392710098</v>
      </c>
      <c r="V22" s="113">
        <f t="shared" si="8"/>
        <v>0.44591695923959362</v>
      </c>
      <c r="Y22" s="13"/>
      <c r="Z22" s="13"/>
      <c r="AA22" s="13"/>
      <c r="AB22" s="13"/>
      <c r="AE22" s="13"/>
      <c r="AF22" s="13"/>
      <c r="AG22" s="13"/>
      <c r="AH22" s="13"/>
      <c r="AI22" s="13"/>
      <c r="AX22" s="3"/>
      <c r="BA22" s="3"/>
      <c r="BD22" s="3"/>
      <c r="BG22" s="3"/>
      <c r="BL22" s="3"/>
      <c r="BM22" s="3"/>
      <c r="CC22" s="3"/>
      <c r="CD22" s="3"/>
    </row>
    <row r="23" spans="1:82" x14ac:dyDescent="0.4">
      <c r="A23">
        <v>20</v>
      </c>
      <c r="B23" s="3">
        <f t="shared" si="0"/>
        <v>-1.0498221244986778</v>
      </c>
      <c r="C23" s="3">
        <v>0.35</v>
      </c>
      <c r="D23" s="13">
        <f>fm_XN(B$2,D$2,J$2,ParamTable_SWC!E23,ParamTable_SWC!F23,ParamTable_SWC!G23,ParamTable_SWC!H23,ParamTable_SWC!I23,ParamTable_SWC!J23,ParamTable_SWC!K23)</f>
        <v>9.0261622999999993</v>
      </c>
      <c r="E23">
        <f>fp_XN($F$2,$B$2,ParamTable_SWC!$C23,ParamTable_SWC!$D23,ParamTable_SWC!$L23,ParamTable_SWC!$M23,ParamTable_SWC!$N23,ParamTable_SWC!$O23,ParamTable_SWC!$P23)</f>
        <v>-10.267509688379544</v>
      </c>
      <c r="F23" s="13">
        <f>EXP(D23+E23)/ParamTable_SWC!Q23</f>
        <v>0.20569775663644829</v>
      </c>
      <c r="G23" s="108">
        <f>ParamTable_SWC!$Q23*EXP(IF('SWC Model'!$H$2="IV",ParamTable_SWC!$T23,IF('SWC Model'!$H$2="III",ParamTable_SWC!$S23,IF('SWC Model'!$H$2="II",ParamTable_SWC!$R23,0))))</f>
        <v>1.4049475905635938</v>
      </c>
      <c r="H23" s="108">
        <f t="shared" si="1"/>
        <v>0.28899456757071451</v>
      </c>
      <c r="I23" s="108" cm="1">
        <f t="array" ref="I23">fsite2025(H$2,$F23,G23,ParamTable_SWC!$Y23,IF('SWC Model'!H$2="IV",ParamTable_SWC!$AC23,IF('SWC Model'!H$2="III",ParamTable_SWC!$AB23,IF('SWC Model'!H$2="II",ParamTable_SWC!$AA23,ParamTable_SWC!$Z23))))</f>
        <v>1.4049475905635938</v>
      </c>
      <c r="J23" s="108">
        <f t="shared" si="2"/>
        <v>0.28899456757071451</v>
      </c>
      <c r="K23" s="109">
        <f>ParamTable_SWC!$Q23*EXP(IF('SWC Model'!$L$2="IV",ParamTable_SWC!$T23,IF('SWC Model'!$L$2="III",ParamTable_SWC!$S23,IF('SWC Model'!$L$2="II",ParamTable_SWC!$R23,0))))</f>
        <v>2.1842226529329363</v>
      </c>
      <c r="L23" s="109">
        <f t="shared" si="3"/>
        <v>0.44928969970281657</v>
      </c>
      <c r="M23" s="109" cm="1">
        <f t="array" ref="M23">fsite2025(L$2,$F23,K23,ParamTable_SWC!$Y23,IF('SWC Model'!L$2="IV",ParamTable_SWC!$AC23,IF('SWC Model'!L$2="III",ParamTable_SWC!$AB23,IF('SWC Model'!L$2="II",ParamTable_SWC!$AA23,ParamTable_SWC!$Z23))))</f>
        <v>2.1284377078203609</v>
      </c>
      <c r="N23" s="109">
        <f t="shared" si="4"/>
        <v>0.43781486163907241</v>
      </c>
      <c r="O23" s="112">
        <f>ParamTable_SWC!$Q23*EXP(IF('SWC Model'!$P$2="IV",ParamTable_SWC!$T23,IF('SWC Model'!$P$2="III",ParamTable_SWC!$S23,IF('SWC Model'!$P$2="II",ParamTable_SWC!$R23,0))))</f>
        <v>2.8982873686291151</v>
      </c>
      <c r="P23" s="112">
        <f t="shared" si="5"/>
        <v>0.59617120981476379</v>
      </c>
      <c r="Q23" s="112" cm="1">
        <f t="array" ref="Q23">fsite2025(P$2,$F23,O23,ParamTable_SWC!$Y23,IF('SWC Model'!P$2="IV",ParamTable_SWC!$AC23,IF('SWC Model'!P$2="III",ParamTable_SWC!$AB23,IF('SWC Model'!P$2="II",ParamTable_SWC!$AA23,ParamTable_SWC!$Z23))))</f>
        <v>2.4854858164328482</v>
      </c>
      <c r="R23" s="112">
        <f t="shared" si="6"/>
        <v>0.51125885659194803</v>
      </c>
      <c r="S23" s="113">
        <f>ParamTable_SWC!$Q23*EXP(IF('SWC Model'!$T$2="IV",ParamTable_SWC!$T23,IF('SWC Model'!$T$2="III",ParamTable_SWC!$S23,IF('SWC Model'!$T$2="II",ParamTable_SWC!$R23,0))))</f>
        <v>3.1381077786234362</v>
      </c>
      <c r="T23" s="113">
        <f t="shared" si="7"/>
        <v>0.64550173014622891</v>
      </c>
      <c r="U23" s="113" cm="1">
        <f t="array" ref="U23">fsite2025(T$2,$F23,S23,ParamTable_SWC!$Y23,IF('SWC Model'!T$2="IV",ParamTable_SWC!$AC23,IF('SWC Model'!T$2="III",ParamTable_SWC!$AB23,IF('SWC Model'!T$2="II",ParamTable_SWC!$AA23,ParamTable_SWC!$Z23))))</f>
        <v>2.1598866149660791</v>
      </c>
      <c r="V23" s="113">
        <f t="shared" si="8"/>
        <v>0.44428383128761462</v>
      </c>
      <c r="Y23" s="13"/>
      <c r="Z23" s="13"/>
      <c r="AA23" s="13"/>
      <c r="AB23" s="13"/>
      <c r="AE23" s="13"/>
      <c r="AF23" s="13"/>
      <c r="AG23" s="13"/>
      <c r="AH23" s="13"/>
      <c r="AI23" s="13"/>
      <c r="AX23" s="3"/>
      <c r="BA23" s="3"/>
      <c r="BD23" s="3"/>
      <c r="BG23" s="3"/>
      <c r="BL23" s="3"/>
      <c r="BM23" s="3"/>
      <c r="CC23" s="3"/>
      <c r="CD23" s="3"/>
    </row>
    <row r="24" spans="1:82" x14ac:dyDescent="0.4">
      <c r="A24">
        <v>21</v>
      </c>
      <c r="B24" s="3">
        <f t="shared" si="0"/>
        <v>-0.916290731874155</v>
      </c>
      <c r="C24" s="3">
        <v>0.4</v>
      </c>
      <c r="D24" s="13">
        <f>fm_XN(B$2,D$2,J$2,ParamTable_SWC!E24,ParamTable_SWC!F24,ParamTable_SWC!G24,ParamTable_SWC!H24,ParamTable_SWC!I24,ParamTable_SWC!J24,ParamTable_SWC!K24)</f>
        <v>9.0645184000000008</v>
      </c>
      <c r="E24">
        <f>fp_XN($F$2,$B$2,ParamTable_SWC!$C24,ParamTable_SWC!$D24,ParamTable_SWC!$L24,ParamTable_SWC!$M24,ParamTable_SWC!$N24,ParamTable_SWC!$O24,ParamTable_SWC!$P24)</f>
        <v>-10.394849620736663</v>
      </c>
      <c r="F24" s="13">
        <f>EXP(D24+E24)/ParamTable_SWC!Q24</f>
        <v>0.19294864361679095</v>
      </c>
      <c r="G24" s="108">
        <f>ParamTable_SWC!$Q24*EXP(IF('SWC Model'!$H$2="IV",ParamTable_SWC!$T24,IF('SWC Model'!$H$2="III",ParamTable_SWC!$S24,IF('SWC Model'!$H$2="II",ParamTable_SWC!$R24,0))))</f>
        <v>1.3702593109569967</v>
      </c>
      <c r="H24" s="108">
        <f t="shared" si="1"/>
        <v>0.26438967545243108</v>
      </c>
      <c r="I24" s="108" cm="1">
        <f t="array" ref="I24">fsite2025(H$2,$F24,G24,ParamTable_SWC!$Y24,IF('SWC Model'!H$2="IV",ParamTable_SWC!$AC24,IF('SWC Model'!H$2="III",ParamTable_SWC!$AB24,IF('SWC Model'!H$2="II",ParamTable_SWC!$AA24,ParamTable_SWC!$Z24))))</f>
        <v>1.3702593109569967</v>
      </c>
      <c r="J24" s="108">
        <f t="shared" si="2"/>
        <v>0.26438967545243108</v>
      </c>
      <c r="K24" s="109">
        <f>ParamTable_SWC!$Q24*EXP(IF('SWC Model'!$L$2="IV",ParamTable_SWC!$T24,IF('SWC Model'!$L$2="III",ParamTable_SWC!$S24,IF('SWC Model'!$L$2="II",ParamTable_SWC!$R24,0))))</f>
        <v>2.0641324147610471</v>
      </c>
      <c r="L24" s="109">
        <f t="shared" si="3"/>
        <v>0.3982715496735954</v>
      </c>
      <c r="M24" s="109" cm="1">
        <f t="array" ref="M24">fsite2025(L$2,$F24,K24,ParamTable_SWC!$Y24,IF('SWC Model'!L$2="IV",ParamTable_SWC!$AC24,IF('SWC Model'!L$2="III",ParamTable_SWC!$AB24,IF('SWC Model'!L$2="II",ParamTable_SWC!$AA24,ParamTable_SWC!$Z24))))</f>
        <v>2.027097104908659</v>
      </c>
      <c r="N24" s="109">
        <f t="shared" si="4"/>
        <v>0.39112563687164953</v>
      </c>
      <c r="O24" s="112">
        <f>ParamTable_SWC!$Q24*EXP(IF('SWC Model'!$P$2="IV",ParamTable_SWC!$T24,IF('SWC Model'!$P$2="III",ParamTable_SWC!$S24,IF('SWC Model'!$P$2="II",ParamTable_SWC!$R24,0))))</f>
        <v>2.8047656829635184</v>
      </c>
      <c r="P24" s="112">
        <f t="shared" si="5"/>
        <v>0.54117573419073317</v>
      </c>
      <c r="Q24" s="112" cm="1">
        <f t="array" ref="Q24">fsite2025(P$2,$F24,O24,ParamTable_SWC!$Y24,IF('SWC Model'!P$2="IV",ParamTable_SWC!$AC24,IF('SWC Model'!P$2="III",ParamTable_SWC!$AB24,IF('SWC Model'!P$2="II",ParamTable_SWC!$AA24,ParamTable_SWC!$Z24))))</f>
        <v>2.4468799212431041</v>
      </c>
      <c r="R24" s="112">
        <f t="shared" si="6"/>
        <v>0.47212216189701722</v>
      </c>
      <c r="S24" s="113">
        <f>ParamTable_SWC!$Q24*EXP(IF('SWC Model'!$T$2="IV",ParamTable_SWC!$T24,IF('SWC Model'!$T$2="III",ParamTable_SWC!$S24,IF('SWC Model'!$T$2="II",ParamTable_SWC!$R24,0))))</f>
        <v>3.2832704038759064</v>
      </c>
      <c r="T24" s="113">
        <f t="shared" si="7"/>
        <v>0.63350257105500962</v>
      </c>
      <c r="U24" s="113" cm="1">
        <f t="array" ref="U24">fsite2025(T$2,$F24,S24,ParamTable_SWC!$Y24,IF('SWC Model'!T$2="IV",ParamTable_SWC!$AC24,IF('SWC Model'!T$2="III",ParamTable_SWC!$AB24,IF('SWC Model'!T$2="II",ParamTable_SWC!$AA24,ParamTable_SWC!$Z24))))</f>
        <v>2.3092007083468622</v>
      </c>
      <c r="V24" s="113">
        <f t="shared" si="8"/>
        <v>0.44555714451445994</v>
      </c>
      <c r="Y24" s="13"/>
      <c r="Z24" s="13"/>
      <c r="AA24" s="13"/>
      <c r="AB24" s="13"/>
      <c r="AE24" s="13"/>
      <c r="AF24" s="13"/>
      <c r="AG24" s="13"/>
      <c r="AH24" s="13"/>
      <c r="AI24" s="13"/>
      <c r="AX24" s="3"/>
      <c r="BA24" s="3"/>
      <c r="BD24" s="3"/>
      <c r="BG24" s="3"/>
      <c r="BL24" s="3"/>
      <c r="BM24" s="3"/>
      <c r="CC24" s="3"/>
      <c r="CD24" s="3"/>
    </row>
    <row r="25" spans="1:82" x14ac:dyDescent="0.4">
      <c r="A25">
        <v>22</v>
      </c>
      <c r="B25" s="3">
        <f t="shared" si="0"/>
        <v>-0.79850769621777162</v>
      </c>
      <c r="C25" s="3">
        <v>0.45</v>
      </c>
      <c r="D25" s="13">
        <f>fm_XN(B$2,D$2,J$2,ParamTable_SWC!E25,ParamTable_SWC!F25,ParamTable_SWC!G25,ParamTable_SWC!H25,ParamTable_SWC!I25,ParamTable_SWC!J25,ParamTable_SWC!K25)</f>
        <v>9.1277238000000001</v>
      </c>
      <c r="E25">
        <f>fp_XN($F$2,$B$2,ParamTable_SWC!$C25,ParamTable_SWC!$D25,ParamTable_SWC!$L25,ParamTable_SWC!$M25,ParamTable_SWC!$N25,ParamTable_SWC!$O25,ParamTable_SWC!$P25)</f>
        <v>-10.561597154750114</v>
      </c>
      <c r="F25" s="13">
        <f>EXP(D25+E25)/ParamTable_SWC!Q25</f>
        <v>0.17873100750916437</v>
      </c>
      <c r="G25" s="108">
        <f>ParamTable_SWC!$Q25*EXP(IF('SWC Model'!$H$2="IV",ParamTable_SWC!$T25,IF('SWC Model'!$H$2="III",ParamTable_SWC!$S25,IF('SWC Model'!$H$2="II",ParamTable_SWC!$R25,0))))</f>
        <v>1.3337573041233846</v>
      </c>
      <c r="H25" s="108">
        <f t="shared" si="1"/>
        <v>0.23838378673867947</v>
      </c>
      <c r="I25" s="108" cm="1">
        <f t="array" ref="I25">fsite2025(H$2,$F25,G25,ParamTable_SWC!$Y25,IF('SWC Model'!H$2="IV",ParamTable_SWC!$AC25,IF('SWC Model'!H$2="III",ParamTable_SWC!$AB25,IF('SWC Model'!H$2="II",ParamTable_SWC!$AA25,ParamTable_SWC!$Z25))))</f>
        <v>1.3337573041233846</v>
      </c>
      <c r="J25" s="108">
        <f t="shared" si="2"/>
        <v>0.23838378673867947</v>
      </c>
      <c r="K25" s="109">
        <f>ParamTable_SWC!$Q25*EXP(IF('SWC Model'!$L$2="IV",ParamTable_SWC!$T25,IF('SWC Model'!$L$2="III",ParamTable_SWC!$S25,IF('SWC Model'!$L$2="II",ParamTable_SWC!$R25,0))))</f>
        <v>1.9378323441502519</v>
      </c>
      <c r="L25" s="109">
        <f t="shared" si="3"/>
        <v>0.34635072725382027</v>
      </c>
      <c r="M25" s="109" cm="1">
        <f t="array" ref="M25">fsite2025(L$2,$F25,K25,ParamTable_SWC!$Y25,IF('SWC Model'!L$2="IV",ParamTable_SWC!$AC25,IF('SWC Model'!L$2="III",ParamTable_SWC!$AB25,IF('SWC Model'!L$2="II",ParamTable_SWC!$AA25,ParamTable_SWC!$Z25))))</f>
        <v>1.9124091727423875</v>
      </c>
      <c r="N25" s="109">
        <f t="shared" si="4"/>
        <v>0.34180681821401449</v>
      </c>
      <c r="O25" s="112">
        <f>ParamTable_SWC!$Q25*EXP(IF('SWC Model'!$P$2="IV",ParamTable_SWC!$T25,IF('SWC Model'!$P$2="III",ParamTable_SWC!$S25,IF('SWC Model'!$P$2="II",ParamTable_SWC!$R25,0))))</f>
        <v>2.6814561861473276</v>
      </c>
      <c r="P25" s="112">
        <f t="shared" si="5"/>
        <v>0.47925936574179329</v>
      </c>
      <c r="Q25" s="112" cm="1">
        <f t="array" ref="Q25">fsite2025(P$2,$F25,O25,ParamTable_SWC!$Y25,IF('SWC Model'!P$2="IV",ParamTable_SWC!$AC25,IF('SWC Model'!P$2="III",ParamTable_SWC!$AB25,IF('SWC Model'!P$2="II",ParamTable_SWC!$AA25,ParamTable_SWC!$Z25))))</f>
        <v>2.3784617830893655</v>
      </c>
      <c r="R25" s="112">
        <f t="shared" si="6"/>
        <v>0.42510487081360587</v>
      </c>
      <c r="S25" s="113">
        <f>ParamTable_SWC!$Q25*EXP(IF('SWC Model'!$T$2="IV",ParamTable_SWC!$T25,IF('SWC Model'!$T$2="III",ParamTable_SWC!$S25,IF('SWC Model'!$T$2="II",ParamTable_SWC!$R25,0))))</f>
        <v>3.3972626350129498</v>
      </c>
      <c r="T25" s="113">
        <f t="shared" si="7"/>
        <v>0.60719617352910304</v>
      </c>
      <c r="U25" s="113" cm="1">
        <f t="array" ref="U25">fsite2025(T$2,$F25,S25,ParamTable_SWC!$Y25,IF('SWC Model'!T$2="IV",ParamTable_SWC!$AC25,IF('SWC Model'!T$2="III",ParamTable_SWC!$AB25,IF('SWC Model'!T$2="II",ParamTable_SWC!$AA25,ParamTable_SWC!$Z25))))</f>
        <v>2.4529697842049893</v>
      </c>
      <c r="V25" s="113">
        <f t="shared" si="8"/>
        <v>0.43842176092049528</v>
      </c>
      <c r="Y25" s="13"/>
      <c r="Z25" s="13"/>
      <c r="AA25" s="13"/>
      <c r="AB25" s="13"/>
      <c r="AE25" s="13"/>
      <c r="AF25" s="13"/>
      <c r="AG25" s="13"/>
      <c r="AH25" s="13"/>
      <c r="AI25" s="13"/>
      <c r="AX25" s="3"/>
      <c r="BA25" s="3"/>
      <c r="BD25" s="3"/>
      <c r="BG25" s="3"/>
      <c r="BL25" s="3"/>
      <c r="BM25" s="3"/>
      <c r="CC25" s="3"/>
      <c r="CD25" s="3"/>
    </row>
    <row r="26" spans="1:82" x14ac:dyDescent="0.4">
      <c r="A26">
        <v>23</v>
      </c>
      <c r="B26" s="3">
        <f t="shared" si="0"/>
        <v>-0.69314718055994529</v>
      </c>
      <c r="C26" s="3">
        <v>0.5</v>
      </c>
      <c r="D26" s="13">
        <f>fm_XN(B$2,D$2,J$2,ParamTable_SWC!E26,ParamTable_SWC!F26,ParamTable_SWC!G26,ParamTable_SWC!H26,ParamTable_SWC!I26,ParamTable_SWC!J26,ParamTable_SWC!K26)</f>
        <v>9.2053250000000002</v>
      </c>
      <c r="E26">
        <f>fp_XN($F$2,$B$2,ParamTable_SWC!$C26,ParamTable_SWC!$D26,ParamTable_SWC!$L26,ParamTable_SWC!$M26,ParamTable_SWC!$N26,ParamTable_SWC!$O26,ParamTable_SWC!$P26)</f>
        <v>-10.724473726005538</v>
      </c>
      <c r="F26" s="13">
        <f>EXP(D26+E26)/ParamTable_SWC!Q26</f>
        <v>0.16827617912048823</v>
      </c>
      <c r="G26" s="108">
        <f>ParamTable_SWC!$Q26*EXP(IF('SWC Model'!$H$2="IV",ParamTable_SWC!$T26,IF('SWC Model'!$H$2="III",ParamTable_SWC!$S26,IF('SWC Model'!$H$2="II",ParamTable_SWC!$R26,0))))</f>
        <v>1.3008267189517242</v>
      </c>
      <c r="H26" s="108">
        <f t="shared" si="1"/>
        <v>0.21889814996303733</v>
      </c>
      <c r="I26" s="108" cm="1">
        <f t="array" ref="I26">fsite2025(H$2,$F26,G26,ParamTable_SWC!$Y26,IF('SWC Model'!H$2="IV",ParamTable_SWC!$AC26,IF('SWC Model'!H$2="III",ParamTable_SWC!$AB26,IF('SWC Model'!H$2="II",ParamTable_SWC!$AA26,ParamTable_SWC!$Z26))))</f>
        <v>1.3008267189517242</v>
      </c>
      <c r="J26" s="108">
        <f t="shared" si="2"/>
        <v>0.21889814996303733</v>
      </c>
      <c r="K26" s="109">
        <f>ParamTable_SWC!$Q26*EXP(IF('SWC Model'!$L$2="IV",ParamTable_SWC!$T26,IF('SWC Model'!$L$2="III",ParamTable_SWC!$S26,IF('SWC Model'!$L$2="II",ParamTable_SWC!$R26,0))))</f>
        <v>1.8296414157948635</v>
      </c>
      <c r="L26" s="109">
        <f t="shared" si="3"/>
        <v>0.30788506661056014</v>
      </c>
      <c r="M26" s="109" cm="1">
        <f t="array" ref="M26">fsite2025(L$2,$F26,K26,ParamTable_SWC!$Y26,IF('SWC Model'!L$2="IV",ParamTable_SWC!$AC26,IF('SWC Model'!L$2="III",ParamTable_SWC!$AB26,IF('SWC Model'!L$2="II",ParamTable_SWC!$AA26,ParamTable_SWC!$Z26))))</f>
        <v>1.8099671856162458</v>
      </c>
      <c r="N26" s="109">
        <f t="shared" si="4"/>
        <v>0.30457436232896534</v>
      </c>
      <c r="O26" s="112">
        <f>ParamTable_SWC!$Q26*EXP(IF('SWC Model'!$P$2="IV",ParamTable_SWC!$T26,IF('SWC Model'!$P$2="III",ParamTable_SWC!$S26,IF('SWC Model'!$P$2="II",ParamTable_SWC!$R26,0))))</f>
        <v>2.5633371915388312</v>
      </c>
      <c r="P26" s="112">
        <f t="shared" si="5"/>
        <v>0.43134858838959761</v>
      </c>
      <c r="Q26" s="112" cm="1">
        <f t="array" ref="Q26">fsite2025(P$2,$F26,O26,ParamTable_SWC!$Y26,IF('SWC Model'!P$2="IV",ParamTable_SWC!$AC26,IF('SWC Model'!P$2="III",ParamTable_SWC!$AB26,IF('SWC Model'!P$2="II",ParamTable_SWC!$AA26,ParamTable_SWC!$Z26))))</f>
        <v>2.3034742185979118</v>
      </c>
      <c r="R26" s="112">
        <f t="shared" si="6"/>
        <v>0.38761984020820889</v>
      </c>
      <c r="S26" s="113">
        <f>ParamTable_SWC!$Q26*EXP(IF('SWC Model'!$T$2="IV",ParamTable_SWC!$T26,IF('SWC Model'!$T$2="III",ParamTable_SWC!$S26,IF('SWC Model'!$T$2="II",ParamTable_SWC!$R26,0))))</f>
        <v>3.4935206151681029</v>
      </c>
      <c r="T26" s="113">
        <f t="shared" si="7"/>
        <v>0.58787630079914588</v>
      </c>
      <c r="U26" s="113" cm="1">
        <f t="array" ref="U26">fsite2025(T$2,$F26,S26,ParamTable_SWC!$Y26,IF('SWC Model'!T$2="IV",ParamTable_SWC!$AC26,IF('SWC Model'!T$2="III",ParamTable_SWC!$AB26,IF('SWC Model'!T$2="II",ParamTable_SWC!$AA26,ParamTable_SWC!$Z26))))</f>
        <v>2.5770963484591105</v>
      </c>
      <c r="V26" s="113">
        <f t="shared" si="8"/>
        <v>0.4336639267440614</v>
      </c>
      <c r="Y26" s="13"/>
      <c r="Z26" s="13"/>
      <c r="AA26" s="13"/>
      <c r="AB26" s="13"/>
      <c r="AE26" s="13"/>
      <c r="AF26" s="13"/>
      <c r="AG26" s="13"/>
      <c r="AH26" s="13"/>
      <c r="AI26" s="13"/>
      <c r="AX26" s="3"/>
      <c r="BA26" s="3"/>
      <c r="BD26" s="3"/>
      <c r="BG26" s="3"/>
      <c r="BL26" s="3"/>
      <c r="BM26" s="3"/>
      <c r="CC26" s="3"/>
      <c r="CD26" s="3"/>
    </row>
    <row r="27" spans="1:82" x14ac:dyDescent="0.4">
      <c r="A27">
        <v>24</v>
      </c>
      <c r="B27" s="3">
        <f t="shared" si="0"/>
        <v>-0.51082562376599072</v>
      </c>
      <c r="C27" s="3">
        <v>0.6</v>
      </c>
      <c r="D27" s="13">
        <f>fm_XN(B$2,D$2,J$2,ParamTable_SWC!E27,ParamTable_SWC!F27,ParamTable_SWC!G27,ParamTable_SWC!H27,ParamTable_SWC!I27,ParamTable_SWC!J27,ParamTable_SWC!K27)</f>
        <v>9.379293800000001</v>
      </c>
      <c r="E27">
        <f>fp_XN($F$2,$B$2,ParamTable_SWC!$C27,ParamTable_SWC!$D27,ParamTable_SWC!$L27,ParamTable_SWC!$M27,ParamTable_SWC!$N27,ParamTable_SWC!$O27,ParamTable_SWC!$P27)</f>
        <v>-11.069136751082887</v>
      </c>
      <c r="F27" s="13">
        <f>EXP(D27+E27)/ParamTable_SWC!Q27</f>
        <v>0.1484001479795039</v>
      </c>
      <c r="G27" s="108">
        <f>ParamTable_SWC!$Q27*EXP(IF('SWC Model'!$H$2="IV",ParamTable_SWC!$T27,IF('SWC Model'!$H$2="III",ParamTable_SWC!$S27,IF('SWC Model'!$H$2="II",ParamTable_SWC!$R27,0))))</f>
        <v>1.2435870676190619</v>
      </c>
      <c r="H27" s="108">
        <f t="shared" si="1"/>
        <v>0.1845485048600661</v>
      </c>
      <c r="I27" s="108" cm="1">
        <f t="array" ref="I27">fsite2025(H$2,$F27,G27,ParamTable_SWC!$Y27,IF('SWC Model'!H$2="IV",ParamTable_SWC!$AC27,IF('SWC Model'!H$2="III",ParamTable_SWC!$AB27,IF('SWC Model'!H$2="II",ParamTable_SWC!$AA27,ParamTable_SWC!$Z27))))</f>
        <v>1.2435870676190619</v>
      </c>
      <c r="J27" s="108">
        <f t="shared" si="2"/>
        <v>0.1845485048600661</v>
      </c>
      <c r="K27" s="109">
        <f>ParamTable_SWC!$Q27*EXP(IF('SWC Model'!$L$2="IV",ParamTable_SWC!$T27,IF('SWC Model'!$L$2="III",ParamTable_SWC!$S27,IF('SWC Model'!$L$2="II",ParamTable_SWC!$R27,0))))</f>
        <v>1.6512787702198082</v>
      </c>
      <c r="L27" s="109">
        <f t="shared" si="3"/>
        <v>0.24505001385603276</v>
      </c>
      <c r="M27" s="109" cm="1">
        <f t="array" ref="M27">fsite2025(L$2,$F27,K27,ParamTable_SWC!$Y27,IF('SWC Model'!L$2="IV",ParamTable_SWC!$AC27,IF('SWC Model'!L$2="III",ParamTable_SWC!$AB27,IF('SWC Model'!L$2="II",ParamTable_SWC!$AA27,ParamTable_SWC!$Z27))))</f>
        <v>1.6376516230548734</v>
      </c>
      <c r="N27" s="109">
        <f t="shared" si="4"/>
        <v>0.24302774320021797</v>
      </c>
      <c r="O27" s="112">
        <f>ParamTable_SWC!$Q27*EXP(IF('SWC Model'!$P$2="IV",ParamTable_SWC!$T27,IF('SWC Model'!$P$2="III",ParamTable_SWC!$S27,IF('SWC Model'!$P$2="II",ParamTable_SWC!$R27,0))))</f>
        <v>2.3655486917424464</v>
      </c>
      <c r="P27" s="112">
        <f t="shared" si="5"/>
        <v>0.35104777590730091</v>
      </c>
      <c r="Q27" s="112" cm="1">
        <f t="array" ref="Q27">fsite2025(P$2,$F27,O27,ParamTable_SWC!$Y27,IF('SWC Model'!P$2="IV",ParamTable_SWC!$AC27,IF('SWC Model'!P$2="III",ParamTable_SWC!$AB27,IF('SWC Model'!P$2="II",ParamTable_SWC!$AA27,ParamTable_SWC!$Z27))))</f>
        <v>2.1670621465720235</v>
      </c>
      <c r="R27" s="112">
        <f t="shared" si="6"/>
        <v>0.32159234323206964</v>
      </c>
      <c r="S27" s="113">
        <f>ParamTable_SWC!$Q27*EXP(IF('SWC Model'!$T$2="IV",ParamTable_SWC!$T27,IF('SWC Model'!$T$2="III",ParamTable_SWC!$S27,IF('SWC Model'!$T$2="II",ParamTable_SWC!$R27,0))))</f>
        <v>3.6348578343479079</v>
      </c>
      <c r="T27" s="113">
        <f t="shared" si="7"/>
        <v>0.5394134405016886</v>
      </c>
      <c r="U27" s="113" cm="1">
        <f t="array" ref="U27">fsite2025(T$2,$F27,S27,ParamTable_SWC!$Y27,IF('SWC Model'!T$2="IV",ParamTable_SWC!$AC27,IF('SWC Model'!T$2="III",ParamTable_SWC!$AB27,IF('SWC Model'!T$2="II",ParamTable_SWC!$AA27,ParamTable_SWC!$Z27))))</f>
        <v>2.7886633118774853</v>
      </c>
      <c r="V27" s="113">
        <f t="shared" si="8"/>
        <v>0.41383804814763225</v>
      </c>
      <c r="Y27" s="13"/>
      <c r="Z27" s="13"/>
      <c r="AA27" s="13"/>
      <c r="AB27" s="13"/>
      <c r="AE27" s="13"/>
      <c r="AF27" s="13"/>
      <c r="AG27" s="13"/>
      <c r="AH27" s="13"/>
      <c r="AI27" s="13"/>
      <c r="AX27" s="3"/>
      <c r="BA27" s="3"/>
      <c r="BD27" s="3"/>
      <c r="BG27" s="3"/>
      <c r="BL27" s="3"/>
      <c r="BM27" s="3"/>
      <c r="CC27" s="3"/>
      <c r="CD27" s="3"/>
    </row>
    <row r="28" spans="1:82" x14ac:dyDescent="0.4">
      <c r="A28">
        <v>25</v>
      </c>
      <c r="B28" s="3">
        <f t="shared" si="0"/>
        <v>-0.35667494393873245</v>
      </c>
      <c r="C28" s="3">
        <v>0.7</v>
      </c>
      <c r="D28" s="13">
        <f>fm_XN(B$2,D$2,J$2,ParamTable_SWC!E28,ParamTable_SWC!F28,ParamTable_SWC!G28,ParamTable_SWC!H28,ParamTable_SWC!I28,ParamTable_SWC!J28,ParamTable_SWC!K28)</f>
        <v>9.5757873</v>
      </c>
      <c r="E28">
        <f>fp_XN($F$2,$B$2,ParamTable_SWC!$C28,ParamTable_SWC!$D28,ParamTable_SWC!$L28,ParamTable_SWC!$M28,ParamTable_SWC!$N28,ParamTable_SWC!$O28,ParamTable_SWC!$P28)</f>
        <v>-11.416942829314014</v>
      </c>
      <c r="F28" s="13">
        <f>EXP(D28+E28)/ParamTable_SWC!Q28</f>
        <v>0.13210535519681751</v>
      </c>
      <c r="G28" s="108">
        <f>ParamTable_SWC!$Q28*EXP(IF('SWC Model'!$H$2="IV",ParamTable_SWC!$T28,IF('SWC Model'!$H$2="III",ParamTable_SWC!$S28,IF('SWC Model'!$H$2="II",ParamTable_SWC!$R28,0))))</f>
        <v>1.2008144080808307</v>
      </c>
      <c r="H28" s="108">
        <f t="shared" si="1"/>
        <v>0.15863401390497431</v>
      </c>
      <c r="I28" s="108" cm="1">
        <f t="array" ref="I28">fsite2025(H$2,$F28,G28,ParamTable_SWC!$Y28,IF('SWC Model'!H$2="IV",ParamTable_SWC!$AC28,IF('SWC Model'!H$2="III",ParamTable_SWC!$AB28,IF('SWC Model'!H$2="II",ParamTable_SWC!$AA28,ParamTable_SWC!$Z28))))</f>
        <v>1.2008144080808307</v>
      </c>
      <c r="J28" s="108">
        <f t="shared" si="2"/>
        <v>0.15863401390497431</v>
      </c>
      <c r="K28" s="109">
        <f>ParamTable_SWC!$Q28*EXP(IF('SWC Model'!$L$2="IV",ParamTable_SWC!$T28,IF('SWC Model'!$L$2="III",ParamTable_SWC!$S28,IF('SWC Model'!$L$2="II",ParamTable_SWC!$R28,0))))</f>
        <v>1.5227531814324291</v>
      </c>
      <c r="L28" s="109">
        <f t="shared" si="3"/>
        <v>0.20116384991021496</v>
      </c>
      <c r="M28" s="109" cm="1">
        <f t="array" ref="M28">fsite2025(L$2,$F28,K28,ParamTable_SWC!$Y28,IF('SWC Model'!L$2="IV",ParamTable_SWC!$AC28,IF('SWC Model'!L$2="III",ParamTable_SWC!$AB28,IF('SWC Model'!L$2="II",ParamTable_SWC!$AA28,ParamTable_SWC!$Z28))))</f>
        <v>1.5118064775252977</v>
      </c>
      <c r="N28" s="109">
        <f t="shared" si="4"/>
        <v>0.19971773170232898</v>
      </c>
      <c r="O28" s="112">
        <f>ParamTable_SWC!$Q28*EXP(IF('SWC Model'!$P$2="IV",ParamTable_SWC!$T28,IF('SWC Model'!$P$2="III",ParamTable_SWC!$S28,IF('SWC Model'!$P$2="II",ParamTable_SWC!$R28,0))))</f>
        <v>2.2044102217671053</v>
      </c>
      <c r="P28" s="112">
        <f t="shared" si="5"/>
        <v>0.29121439534603871</v>
      </c>
      <c r="Q28" s="112" cm="1">
        <f t="array" ref="Q28">fsite2025(P$2,$F28,O28,ParamTable_SWC!$Y28,IF('SWC Model'!P$2="IV",ParamTable_SWC!$AC28,IF('SWC Model'!P$2="III",ParamTable_SWC!$AB28,IF('SWC Model'!P$2="II",ParamTable_SWC!$AA28,ParamTable_SWC!$Z28))))</f>
        <v>2.0498921251344591</v>
      </c>
      <c r="R28" s="112">
        <f t="shared" si="6"/>
        <v>0.27080172730604679</v>
      </c>
      <c r="S28" s="113">
        <f>ParamTable_SWC!$Q28*EXP(IF('SWC Model'!$T$2="IV",ParamTable_SWC!$T28,IF('SWC Model'!$T$2="III",ParamTable_SWC!$S28,IF('SWC Model'!$T$2="II",ParamTable_SWC!$R28,0))))</f>
        <v>3.7264275003821918</v>
      </c>
      <c r="T28" s="113">
        <f t="shared" si="7"/>
        <v>0.49228102855317829</v>
      </c>
      <c r="U28" s="113" cm="1">
        <f t="array" ref="U28">fsite2025(T$2,$F28,S28,ParamTable_SWC!$Y28,IF('SWC Model'!T$2="IV",ParamTable_SWC!$AC28,IF('SWC Model'!T$2="III",ParamTable_SWC!$AB28,IF('SWC Model'!T$2="II",ParamTable_SWC!$AA28,ParamTable_SWC!$Z28))))</f>
        <v>2.9596854706621714</v>
      </c>
      <c r="V28" s="113">
        <f t="shared" si="8"/>
        <v>0.39099030037268617</v>
      </c>
      <c r="Y28" s="13"/>
      <c r="Z28" s="13"/>
      <c r="AA28" s="13"/>
      <c r="AB28" s="13"/>
      <c r="AE28" s="13"/>
      <c r="AF28" s="13"/>
      <c r="AG28" s="13"/>
      <c r="AH28" s="13"/>
      <c r="AI28" s="13"/>
      <c r="AX28" s="3"/>
      <c r="BA28" s="3"/>
      <c r="BD28" s="3"/>
      <c r="BG28" s="3"/>
      <c r="BL28" s="3"/>
      <c r="BM28" s="3"/>
      <c r="CC28" s="3"/>
      <c r="CD28" s="3"/>
    </row>
    <row r="29" spans="1:82" x14ac:dyDescent="0.4">
      <c r="A29">
        <v>26</v>
      </c>
      <c r="B29" s="3">
        <f t="shared" si="0"/>
        <v>-0.22314355131420971</v>
      </c>
      <c r="C29" s="3">
        <v>0.8</v>
      </c>
      <c r="D29" s="13">
        <f>fm_XN(B$2,D$2,J$2,ParamTable_SWC!E29,ParamTable_SWC!F29,ParamTable_SWC!G29,ParamTable_SWC!H29,ParamTable_SWC!I29,ParamTable_SWC!J29,ParamTable_SWC!K29)</f>
        <v>9.7840135000000004</v>
      </c>
      <c r="E29">
        <f>fp_XN($F$2,$B$2,ParamTable_SWC!$C29,ParamTable_SWC!$D29,ParamTable_SWC!$L29,ParamTable_SWC!$M29,ParamTable_SWC!$N29,ParamTable_SWC!$O29,ParamTable_SWC!$P29)</f>
        <v>-11.763658354053518</v>
      </c>
      <c r="F29" s="13">
        <f>EXP(D29+E29)/ParamTable_SWC!Q29</f>
        <v>0.11828659192149885</v>
      </c>
      <c r="G29" s="108">
        <f>ParamTable_SWC!$Q29*EXP(IF('SWC Model'!$H$2="IV",ParamTable_SWC!$T29,IF('SWC Model'!$H$2="III",ParamTable_SWC!$S29,IF('SWC Model'!$H$2="II",ParamTable_SWC!$R29,0))))</f>
        <v>1.167657961105125</v>
      </c>
      <c r="H29" s="108">
        <f t="shared" si="1"/>
        <v>0.13811828074913129</v>
      </c>
      <c r="I29" s="108" cm="1">
        <f t="array" ref="I29">fsite2025(H$2,$F29,G29,ParamTable_SWC!$Y29,IF('SWC Model'!H$2="IV",ParamTable_SWC!$AC29,IF('SWC Model'!H$2="III",ParamTable_SWC!$AB29,IF('SWC Model'!H$2="II",ParamTable_SWC!$AA29,ParamTable_SWC!$Z29))))</f>
        <v>1.167657961105125</v>
      </c>
      <c r="J29" s="108">
        <f t="shared" si="2"/>
        <v>0.13811828074913129</v>
      </c>
      <c r="K29" s="109">
        <f>ParamTable_SWC!$Q29*EXP(IF('SWC Model'!$L$2="IV",ParamTable_SWC!$T29,IF('SWC Model'!$L$2="III",ParamTable_SWC!$S29,IF('SWC Model'!$L$2="II",ParamTable_SWC!$R29,0))))</f>
        <v>1.4282215515108356</v>
      </c>
      <c r="L29" s="109">
        <f t="shared" si="3"/>
        <v>0.16893945983705216</v>
      </c>
      <c r="M29" s="109" cm="1">
        <f t="array" ref="M29">fsite2025(L$2,$F29,K29,ParamTable_SWC!$Y29,IF('SWC Model'!L$2="IV",ParamTable_SWC!$AC29,IF('SWC Model'!L$2="III",ParamTable_SWC!$AB29,IF('SWC Model'!L$2="II",ParamTable_SWC!$AA29,ParamTable_SWC!$Z29))))</f>
        <v>1.4188004898630431</v>
      </c>
      <c r="N29" s="109">
        <f t="shared" si="4"/>
        <v>0.16782507456245244</v>
      </c>
      <c r="O29" s="112">
        <f>ParamTable_SWC!$Q29*EXP(IF('SWC Model'!$P$2="IV",ParamTable_SWC!$T29,IF('SWC Model'!$P$2="III",ParamTable_SWC!$S29,IF('SWC Model'!$P$2="II",ParamTable_SWC!$R29,0))))</f>
        <v>2.0727370909237841</v>
      </c>
      <c r="P29" s="112">
        <f t="shared" si="5"/>
        <v>0.24517700643465631</v>
      </c>
      <c r="Q29" s="112" cm="1">
        <f t="array" ref="Q29">fsite2025(P$2,$F29,O29,ParamTable_SWC!$Y29,IF('SWC Model'!P$2="IV",ParamTable_SWC!$AC29,IF('SWC Model'!P$2="III",ParamTable_SWC!$AB29,IF('SWC Model'!P$2="II",ParamTable_SWC!$AA29,ParamTable_SWC!$Z29))))</f>
        <v>1.9466880999330323</v>
      </c>
      <c r="R29" s="112">
        <f t="shared" si="6"/>
        <v>0.23026710087521654</v>
      </c>
      <c r="S29" s="113">
        <f>ParamTable_SWC!$Q29*EXP(IF('SWC Model'!$T$2="IV",ParamTable_SWC!$T29,IF('SWC Model'!$T$2="III",ParamTable_SWC!$S29,IF('SWC Model'!$T$2="II",ParamTable_SWC!$R29,0))))</f>
        <v>3.7548937905156379</v>
      </c>
      <c r="T29" s="113">
        <f t="shared" si="7"/>
        <v>0.44415358950729322</v>
      </c>
      <c r="U29" s="113" cm="1">
        <f t="array" ref="U29">fsite2025(T$2,$F29,S29,ParamTable_SWC!$Y29,IF('SWC Model'!T$2="IV",ParamTable_SWC!$AC29,IF('SWC Model'!T$2="III",ParamTable_SWC!$AB29,IF('SWC Model'!T$2="II",ParamTable_SWC!$AA29,ParamTable_SWC!$Z29))))</f>
        <v>3.0742959942029526</v>
      </c>
      <c r="V29" s="113">
        <f t="shared" si="8"/>
        <v>0.36364799571218326</v>
      </c>
      <c r="Y29" s="13"/>
      <c r="Z29" s="13"/>
      <c r="AA29" s="13"/>
      <c r="AB29" s="13"/>
      <c r="AE29" s="13"/>
      <c r="AF29" s="13"/>
      <c r="AG29" s="13"/>
      <c r="AH29" s="13"/>
      <c r="AI29" s="13"/>
      <c r="AX29" s="3"/>
      <c r="BA29" s="3"/>
      <c r="BD29" s="3"/>
      <c r="BG29" s="3"/>
      <c r="BL29" s="3"/>
      <c r="BM29" s="3"/>
      <c r="CC29" s="3"/>
      <c r="CD29" s="3"/>
    </row>
    <row r="30" spans="1:82" x14ac:dyDescent="0.4">
      <c r="A30">
        <v>27</v>
      </c>
      <c r="B30" s="3">
        <f t="shared" si="0"/>
        <v>-0.10536051565782628</v>
      </c>
      <c r="C30" s="3">
        <v>0.9</v>
      </c>
      <c r="D30" s="13">
        <f>fm_XN(B$2,D$2,J$2,ParamTable_SWC!E30,ParamTable_SWC!F30,ParamTable_SWC!G30,ParamTable_SWC!H30,ParamTable_SWC!I30,ParamTable_SWC!J30,ParamTable_SWC!K30)</f>
        <v>10.014985299999999</v>
      </c>
      <c r="E30">
        <f>fp_XN($F$2,$B$2,ParamTable_SWC!$C30,ParamTable_SWC!$D30,ParamTable_SWC!$L30,ParamTable_SWC!$M30,ParamTable_SWC!$N30,ParamTable_SWC!$O30,ParamTable_SWC!$P30)</f>
        <v>-12.124037878974406</v>
      </c>
      <c r="F30" s="13">
        <f>EXP(D30+E30)/ParamTable_SWC!Q30</f>
        <v>0.10624021399728097</v>
      </c>
      <c r="G30" s="108">
        <f>ParamTable_SWC!$Q30*EXP(IF('SWC Model'!$H$2="IV",ParamTable_SWC!$T30,IF('SWC Model'!$H$2="III",ParamTable_SWC!$S30,IF('SWC Model'!$H$2="II",ParamTable_SWC!$R30,0))))</f>
        <v>1.1422499983308942</v>
      </c>
      <c r="H30" s="108">
        <f t="shared" si="1"/>
        <v>0.12135288426106804</v>
      </c>
      <c r="I30" s="108" cm="1">
        <f t="array" ref="I30">fsite2025(H$2,$F30,G30,ParamTable_SWC!$Y30,IF('SWC Model'!H$2="IV",ParamTable_SWC!$AC30,IF('SWC Model'!H$2="III",ParamTable_SWC!$AB30,IF('SWC Model'!H$2="II",ParamTable_SWC!$AA30,ParamTable_SWC!$Z30))))</f>
        <v>1.1422499983308942</v>
      </c>
      <c r="J30" s="108">
        <f t="shared" si="2"/>
        <v>0.12135288426106804</v>
      </c>
      <c r="K30" s="109">
        <f>ParamTable_SWC!$Q30*EXP(IF('SWC Model'!$L$2="IV",ParamTable_SWC!$T30,IF('SWC Model'!$L$2="III",ParamTable_SWC!$S30,IF('SWC Model'!$L$2="II",ParamTable_SWC!$R30,0))))</f>
        <v>1.3580366269265547</v>
      </c>
      <c r="L30" s="109">
        <f t="shared" si="3"/>
        <v>0.14427810186082279</v>
      </c>
      <c r="M30" s="109" cm="1">
        <f t="array" ref="M30">fsite2025(L$2,$F30,K30,ParamTable_SWC!$Y30,IF('SWC Model'!L$2="IV",ParamTable_SWC!$AC30,IF('SWC Model'!L$2="III",ParamTable_SWC!$AB30,IF('SWC Model'!L$2="II",ParamTable_SWC!$AA30,ParamTable_SWC!$Z30))))</f>
        <v>1.349666650333587</v>
      </c>
      <c r="N30" s="109">
        <f t="shared" si="4"/>
        <v>0.14338887375643367</v>
      </c>
      <c r="O30" s="112">
        <f>ParamTable_SWC!$Q30*EXP(IF('SWC Model'!$P$2="IV",ParamTable_SWC!$T30,IF('SWC Model'!$P$2="III",ParamTable_SWC!$S30,IF('SWC Model'!$P$2="II",ParamTable_SWC!$R30,0))))</f>
        <v>1.9659193529428516</v>
      </c>
      <c r="P30" s="112">
        <f t="shared" si="5"/>
        <v>0.20885969275804467</v>
      </c>
      <c r="Q30" s="112" cm="1">
        <f t="array" ref="Q30">fsite2025(P$2,$F30,O30,ParamTable_SWC!$Y30,IF('SWC Model'!P$2="IV",ParamTable_SWC!$AC30,IF('SWC Model'!P$2="III",ParamTable_SWC!$AB30,IF('SWC Model'!P$2="II",ParamTable_SWC!$AA30,ParamTable_SWC!$Z30))))</f>
        <v>1.8637072924230942</v>
      </c>
      <c r="R30" s="112">
        <f t="shared" si="6"/>
        <v>0.19800066157532262</v>
      </c>
      <c r="S30" s="113">
        <f>ParamTable_SWC!$Q30*EXP(IF('SWC Model'!$T$2="IV",ParamTable_SWC!$T30,IF('SWC Model'!$T$2="III",ParamTable_SWC!$S30,IF('SWC Model'!$T$2="II",ParamTable_SWC!$R30,0))))</f>
        <v>3.7361661796061729</v>
      </c>
      <c r="T30" s="113">
        <f t="shared" si="7"/>
        <v>0.39693109445076347</v>
      </c>
      <c r="U30" s="113" cm="1">
        <f t="array" ref="U30">fsite2025(T$2,$F30,S30,ParamTable_SWC!$Y30,IF('SWC Model'!T$2="IV",ParamTable_SWC!$AC30,IF('SWC Model'!T$2="III",ParamTable_SWC!$AB30,IF('SWC Model'!T$2="II",ParamTable_SWC!$AA30,ParamTable_SWC!$Z30))))</f>
        <v>3.1436221822914003</v>
      </c>
      <c r="V30" s="113">
        <f t="shared" si="8"/>
        <v>0.33397909337323778</v>
      </c>
      <c r="Y30" s="13"/>
      <c r="Z30" s="13"/>
      <c r="AA30" s="13"/>
      <c r="AB30" s="13"/>
      <c r="AE30" s="13"/>
      <c r="AF30" s="13"/>
      <c r="AG30" s="13"/>
      <c r="AH30" s="13"/>
      <c r="AI30" s="13"/>
      <c r="AX30" s="3"/>
      <c r="BA30" s="3"/>
      <c r="BD30" s="3"/>
      <c r="BG30" s="3"/>
      <c r="BL30" s="3"/>
      <c r="BM30" s="3"/>
      <c r="CC30" s="3"/>
      <c r="CD30" s="3"/>
    </row>
    <row r="31" spans="1:82" x14ac:dyDescent="0.4">
      <c r="A31">
        <v>28</v>
      </c>
      <c r="B31" s="3">
        <f t="shared" si="0"/>
        <v>0</v>
      </c>
      <c r="C31" s="3">
        <v>1</v>
      </c>
      <c r="D31" s="13">
        <f>fm_XN(B$2,D$2,J$2,ParamTable_SWC!E31,ParamTable_SWC!F31,ParamTable_SWC!G31,ParamTable_SWC!H31,ParamTable_SWC!I31,ParamTable_SWC!J31,ParamTable_SWC!K31)</f>
        <v>10.2302702</v>
      </c>
      <c r="E31">
        <f>fp_XN($F$2,$B$2,ParamTable_SWC!$C31,ParamTable_SWC!$D31,ParamTable_SWC!$L31,ParamTable_SWC!$M31,ParamTable_SWC!$N31,ParamTable_SWC!$O31,ParamTable_SWC!$P31)</f>
        <v>-12.466778822029482</v>
      </c>
      <c r="F31" s="13">
        <f>EXP(D31+E31)/ParamTable_SWC!Q31</f>
        <v>9.5130216871370091E-2</v>
      </c>
      <c r="G31" s="108">
        <f>ParamTable_SWC!$Q31*EXP(IF('SWC Model'!$H$2="IV",ParamTable_SWC!$T31,IF('SWC Model'!$H$2="III",ParamTable_SWC!$S31,IF('SWC Model'!$H$2="II",ParamTable_SWC!$R31,0))))</f>
        <v>1.1229958721332547</v>
      </c>
      <c r="H31" s="108">
        <f t="shared" si="1"/>
        <v>0.10683084086168991</v>
      </c>
      <c r="I31" s="108" cm="1">
        <f t="array" ref="I31">fsite2025(H$2,$F31,G31,ParamTable_SWC!$Y31,IF('SWC Model'!H$2="IV",ParamTable_SWC!$AC31,IF('SWC Model'!H$2="III",ParamTable_SWC!$AB31,IF('SWC Model'!H$2="II",ParamTable_SWC!$AA31,ParamTable_SWC!$Z31))))</f>
        <v>1.1229958721332547</v>
      </c>
      <c r="J31" s="108">
        <f t="shared" si="2"/>
        <v>0.10683084086168991</v>
      </c>
      <c r="K31" s="109">
        <f>ParamTable_SWC!$Q31*EXP(IF('SWC Model'!$L$2="IV",ParamTable_SWC!$T31,IF('SWC Model'!$L$2="III",ParamTable_SWC!$S31,IF('SWC Model'!$L$2="II",ParamTable_SWC!$R31,0))))</f>
        <v>1.3052178999787725</v>
      </c>
      <c r="L31" s="109">
        <f t="shared" si="3"/>
        <v>0.12416566188937486</v>
      </c>
      <c r="M31" s="109" cm="1">
        <f t="array" ref="M31">fsite2025(L$2,$F31,K31,ParamTable_SWC!$Y31,IF('SWC Model'!L$2="IV",ParamTable_SWC!$AC31,IF('SWC Model'!L$2="III",ParamTable_SWC!$AB31,IF('SWC Model'!L$2="II",ParamTable_SWC!$AA31,ParamTable_SWC!$Z31))))</f>
        <v>1.2979161522211464</v>
      </c>
      <c r="N31" s="109">
        <f t="shared" si="4"/>
        <v>0.12347104504165185</v>
      </c>
      <c r="O31" s="112">
        <f>ParamTable_SWC!$Q31*EXP(IF('SWC Model'!$P$2="IV",ParamTable_SWC!$T31,IF('SWC Model'!$P$2="III",ParamTable_SWC!$S31,IF('SWC Model'!$P$2="II",ParamTable_SWC!$R31,0))))</f>
        <v>1.8782115107936244</v>
      </c>
      <c r="P31" s="112">
        <f t="shared" si="5"/>
        <v>0.17867466835210116</v>
      </c>
      <c r="Q31" s="112" cm="1">
        <f t="array" ref="Q31">fsite2025(P$2,$F31,O31,ParamTable_SWC!$Y31,IF('SWC Model'!P$2="IV",ParamTable_SWC!$AC31,IF('SWC Model'!P$2="III",ParamTable_SWC!$AB31,IF('SWC Model'!P$2="II",ParamTable_SWC!$AA31,ParamTable_SWC!$Z31))))</f>
        <v>1.794876012543285</v>
      </c>
      <c r="R31" s="112">
        <f t="shared" si="6"/>
        <v>0.1707469443304627</v>
      </c>
      <c r="S31" s="113">
        <f>ParamTable_SWC!$Q31*EXP(IF('SWC Model'!$T$2="IV",ParamTable_SWC!$T31,IF('SWC Model'!$T$2="III",ParamTable_SWC!$S31,IF('SWC Model'!$T$2="II",ParamTable_SWC!$R31,0))))</f>
        <v>3.6756132886243567</v>
      </c>
      <c r="T31" s="113">
        <f t="shared" si="7"/>
        <v>0.34966188928212488</v>
      </c>
      <c r="U31" s="113" cm="1">
        <f t="array" ref="U31">fsite2025(T$2,$F31,S31,ParamTable_SWC!$Y31,IF('SWC Model'!T$2="IV",ParamTable_SWC!$AC31,IF('SWC Model'!T$2="III",ParamTable_SWC!$AB31,IF('SWC Model'!T$2="II",ParamTable_SWC!$AA31,ParamTable_SWC!$Z31))))</f>
        <v>3.1721749086271513</v>
      </c>
      <c r="V31" s="113">
        <f t="shared" si="8"/>
        <v>0.30176968701161949</v>
      </c>
      <c r="Y31" s="13"/>
      <c r="Z31" s="13"/>
      <c r="AA31" s="13"/>
      <c r="AB31" s="13"/>
      <c r="AE31" s="13"/>
      <c r="AF31" s="13"/>
      <c r="AG31" s="13"/>
      <c r="AH31" s="13"/>
      <c r="AI31" s="13"/>
      <c r="AX31" s="3"/>
      <c r="BA31" s="3"/>
      <c r="BD31" s="3"/>
      <c r="BG31" s="3"/>
      <c r="BL31" s="3"/>
      <c r="BM31" s="3"/>
      <c r="CC31" s="3"/>
      <c r="CD31" s="3"/>
    </row>
    <row r="32" spans="1:82" x14ac:dyDescent="0.4">
      <c r="A32">
        <v>29</v>
      </c>
      <c r="B32" s="3">
        <f t="shared" si="0"/>
        <v>0.22314355131420976</v>
      </c>
      <c r="C32" s="3">
        <v>1.25</v>
      </c>
      <c r="D32" s="13">
        <f>fm_XN(B$2,D$2,J$2,ParamTable_SWC!E32,ParamTable_SWC!F32,ParamTable_SWC!G32,ParamTable_SWC!H32,ParamTable_SWC!I32,ParamTable_SWC!J32,ParamTable_SWC!K32)</f>
        <v>10.756475099999999</v>
      </c>
      <c r="E32">
        <f>fp_XN($F$2,$B$2,ParamTable_SWC!$C32,ParamTable_SWC!$D32,ParamTable_SWC!$L32,ParamTable_SWC!$M32,ParamTable_SWC!$N32,ParamTable_SWC!$O32,ParamTable_SWC!$P32)</f>
        <v>-13.270173060428348</v>
      </c>
      <c r="F32" s="13">
        <f>EXP(D32+E32)/ParamTable_SWC!Q32</f>
        <v>7.459379438438983E-2</v>
      </c>
      <c r="G32" s="108">
        <f>ParamTable_SWC!$Q32*EXP(IF('SWC Model'!$H$2="IV",ParamTable_SWC!$T32,IF('SWC Model'!$H$2="III",ParamTable_SWC!$S32,IF('SWC Model'!$H$2="II",ParamTable_SWC!$R32,0))))</f>
        <v>1.085455809829549</v>
      </c>
      <c r="H32" s="108">
        <f t="shared" si="1"/>
        <v>8.0968267491766735E-2</v>
      </c>
      <c r="I32" s="108" cm="1">
        <f t="array" ref="I32">fsite2025(H$2,$F32,G32,ParamTable_SWC!$Y32,IF('SWC Model'!H$2="IV",ParamTable_SWC!$AC32,IF('SWC Model'!H$2="III",ParamTable_SWC!$AB32,IF('SWC Model'!H$2="II",ParamTable_SWC!$AA32,ParamTable_SWC!$Z32))))</f>
        <v>1.085455809829549</v>
      </c>
      <c r="J32" s="108">
        <f t="shared" si="2"/>
        <v>8.0968267491766735E-2</v>
      </c>
      <c r="K32" s="109">
        <f>ParamTable_SWC!$Q32*EXP(IF('SWC Model'!$L$2="IV",ParamTable_SWC!$T32,IF('SWC Model'!$L$2="III",ParamTable_SWC!$S32,IF('SWC Model'!$L$2="II",ParamTable_SWC!$R32,0))))</f>
        <v>1.2071835478213118</v>
      </c>
      <c r="L32" s="109">
        <f t="shared" si="3"/>
        <v>9.0048401350401153E-2</v>
      </c>
      <c r="M32" s="109" cm="1">
        <f t="array" ref="M32">fsite2025(L$2,$F32,K32,ParamTable_SWC!$Y32,IF('SWC Model'!L$2="IV",ParamTable_SWC!$AC32,IF('SWC Model'!L$2="III",ParamTable_SWC!$AB32,IF('SWC Model'!L$2="II",ParamTable_SWC!$AA32,ParamTable_SWC!$Z32))))</f>
        <v>1.2016095618364524</v>
      </c>
      <c r="N32" s="109">
        <f t="shared" si="4"/>
        <v>8.9632616585945082E-2</v>
      </c>
      <c r="O32" s="112">
        <f>ParamTable_SWC!$Q32*EXP(IF('SWC Model'!$P$2="IV",ParamTable_SWC!$T32,IF('SWC Model'!$P$2="III",ParamTable_SWC!$S32,IF('SWC Model'!$P$2="II",ParamTable_SWC!$R32,0))))</f>
        <v>1.7083875970863507</v>
      </c>
      <c r="P32" s="112">
        <f t="shared" si="5"/>
        <v>0.12743511314590106</v>
      </c>
      <c r="Q32" s="112" cm="1">
        <f t="array" ref="Q32">fsite2025(P$2,$F32,O32,ParamTable_SWC!$Y32,IF('SWC Model'!P$2="IV",ParamTable_SWC!$AC32,IF('SWC Model'!P$2="III",ParamTable_SWC!$AB32,IF('SWC Model'!P$2="II",ParamTable_SWC!$AA32,ParamTable_SWC!$Z32))))</f>
        <v>1.6541303424392422</v>
      </c>
      <c r="R32" s="112">
        <f t="shared" si="6"/>
        <v>0.12338785864889316</v>
      </c>
      <c r="S32" s="113">
        <f>ParamTable_SWC!$Q32*EXP(IF('SWC Model'!$T$2="IV",ParamTable_SWC!$T32,IF('SWC Model'!$T$2="III",ParamTable_SWC!$S32,IF('SWC Model'!$T$2="II",ParamTable_SWC!$R32,0))))</f>
        <v>3.4147695191053109</v>
      </c>
      <c r="T32" s="113">
        <f t="shared" si="7"/>
        <v>0.25472061537822333</v>
      </c>
      <c r="U32" s="113" cm="1">
        <f t="array" ref="U32">fsite2025(T$2,$F32,S32,ParamTable_SWC!$Y32,IF('SWC Model'!T$2="IV",ParamTable_SWC!$AC32,IF('SWC Model'!T$2="III",ParamTable_SWC!$AB32,IF('SWC Model'!T$2="II",ParamTable_SWC!$AA32,ParamTable_SWC!$Z32))))</f>
        <v>3.0906273540895621</v>
      </c>
      <c r="V32" s="113">
        <f t="shared" si="8"/>
        <v>0.23054162136972758</v>
      </c>
      <c r="Y32" s="13"/>
      <c r="Z32" s="13"/>
      <c r="AA32" s="13"/>
      <c r="AB32" s="13"/>
      <c r="AE32" s="13"/>
      <c r="AF32" s="13"/>
      <c r="AG32" s="13"/>
      <c r="AH32" s="13"/>
      <c r="AI32" s="13"/>
      <c r="AX32" s="3"/>
      <c r="BA32" s="3"/>
      <c r="BD32" s="3"/>
      <c r="BG32" s="3"/>
      <c r="BL32" s="3"/>
      <c r="BM32" s="3"/>
      <c r="CC32" s="3"/>
      <c r="CD32" s="3"/>
    </row>
    <row r="33" spans="1:82" x14ac:dyDescent="0.4">
      <c r="A33">
        <v>30</v>
      </c>
      <c r="B33" s="3">
        <f t="shared" si="0"/>
        <v>0.40546510810816438</v>
      </c>
      <c r="C33" s="3">
        <v>1.5</v>
      </c>
      <c r="D33" s="13">
        <f>fm_XN(B$2,D$2,J$2,ParamTable_SWC!E33,ParamTable_SWC!F33,ParamTable_SWC!G33,ParamTable_SWC!H33,ParamTable_SWC!I33,ParamTable_SWC!J33,ParamTable_SWC!K33)</f>
        <v>11.2370596</v>
      </c>
      <c r="E33">
        <f>fp_XN($F$2,$B$2,ParamTable_SWC!$C33,ParamTable_SWC!$D33,ParamTable_SWC!$L33,ParamTable_SWC!$M33,ParamTable_SWC!$N33,ParamTable_SWC!$O33,ParamTable_SWC!$P33)</f>
        <v>-13.996694482751511</v>
      </c>
      <c r="F33" s="13">
        <f>EXP(D33+E33)/ParamTable_SWC!Q33</f>
        <v>5.9627709840270555E-2</v>
      </c>
      <c r="G33" s="108">
        <f>ParamTable_SWC!$Q33*EXP(IF('SWC Model'!$H$2="IV",ParamTable_SWC!$T33,IF('SWC Model'!$H$2="III",ParamTable_SWC!$S33,IF('SWC Model'!$H$2="II",ParamTable_SWC!$R33,0))))</f>
        <v>1.0618365465453596</v>
      </c>
      <c r="H33" s="108">
        <f t="shared" si="1"/>
        <v>6.3314881495201647E-2</v>
      </c>
      <c r="I33" s="108" cm="1">
        <f t="array" ref="I33">fsite2025(H$2,$F33,G33,ParamTable_SWC!$Y33,IF('SWC Model'!H$2="IV",ParamTable_SWC!$AC33,IF('SWC Model'!H$2="III",ParamTable_SWC!$AB33,IF('SWC Model'!H$2="II",ParamTable_SWC!$AA33,ParamTable_SWC!$Z33))))</f>
        <v>1.0618365465453596</v>
      </c>
      <c r="J33" s="108">
        <f t="shared" si="2"/>
        <v>6.3314881495201647E-2</v>
      </c>
      <c r="K33" s="109">
        <f>ParamTable_SWC!$Q33*EXP(IF('SWC Model'!$L$2="IV",ParamTable_SWC!$T33,IF('SWC Model'!$L$2="III",ParamTable_SWC!$S33,IF('SWC Model'!$L$2="II",ParamTable_SWC!$R33,0))))</f>
        <v>1.1482051683452752</v>
      </c>
      <c r="L33" s="109">
        <f t="shared" si="3"/>
        <v>6.8464844615191076E-2</v>
      </c>
      <c r="M33" s="109" cm="1">
        <f t="array" ref="M33">fsite2025(L$2,$F33,K33,ParamTable_SWC!$Y33,IF('SWC Model'!L$2="IV",ParamTable_SWC!$AC33,IF('SWC Model'!L$2="III",ParamTable_SWC!$AB33,IF('SWC Model'!L$2="II",ParamTable_SWC!$AA33,ParamTable_SWC!$Z33))))</f>
        <v>1.143830000565518</v>
      </c>
      <c r="N33" s="109">
        <f t="shared" si="4"/>
        <v>6.8203963380317215E-2</v>
      </c>
      <c r="O33" s="112">
        <f>ParamTable_SWC!$Q33*EXP(IF('SWC Model'!$P$2="IV",ParamTable_SWC!$T33,IF('SWC Model'!$P$2="III",ParamTable_SWC!$S33,IF('SWC Model'!$P$2="II",ParamTable_SWC!$R33,0))))</f>
        <v>1.5949302422277738</v>
      </c>
      <c r="P33" s="112">
        <f t="shared" si="5"/>
        <v>9.5102037699030126E-2</v>
      </c>
      <c r="Q33" s="112" cm="1">
        <f t="array" ref="Q33">fsite2025(P$2,$F33,O33,ParamTable_SWC!$Y33,IF('SWC Model'!P$2="IV",ParamTable_SWC!$AC33,IF('SWC Model'!P$2="III",ParamTable_SWC!$AB33,IF('SWC Model'!P$2="II",ParamTable_SWC!$AA33,ParamTable_SWC!$Z33))))</f>
        <v>1.5597714841704744</v>
      </c>
      <c r="R33" s="112">
        <f t="shared" si="6"/>
        <v>9.3005601475245211E-2</v>
      </c>
      <c r="S33" s="113">
        <f>ParamTable_SWC!$Q33*EXP(IF('SWC Model'!$T$2="IV",ParamTable_SWC!$T33,IF('SWC Model'!$T$2="III",ParamTable_SWC!$S33,IF('SWC Model'!$T$2="II",ParamTable_SWC!$R33,0))))</f>
        <v>3.1394888498594216</v>
      </c>
      <c r="T33" s="113">
        <f t="shared" si="7"/>
        <v>0.18720053018618232</v>
      </c>
      <c r="U33" s="113" cm="1">
        <f t="array" ref="U33">fsite2025(T$2,$F33,S33,ParamTable_SWC!$Y33,IF('SWC Model'!T$2="IV",ParamTable_SWC!$AC33,IF('SWC Model'!T$2="III",ParamTable_SWC!$AB33,IF('SWC Model'!T$2="II",ParamTable_SWC!$AA33,ParamTable_SWC!$Z33))))</f>
        <v>2.9401754590648674</v>
      </c>
      <c r="V33" s="113">
        <f t="shared" si="8"/>
        <v>0.17531592915260419</v>
      </c>
      <c r="Y33" s="13"/>
      <c r="Z33" s="13"/>
      <c r="AA33" s="13"/>
      <c r="AB33" s="13"/>
      <c r="AE33" s="13"/>
      <c r="AF33" s="13"/>
      <c r="AG33" s="13"/>
      <c r="AH33" s="13"/>
      <c r="AI33" s="13"/>
      <c r="AX33" s="3"/>
      <c r="BA33" s="3"/>
      <c r="BD33" s="3"/>
      <c r="BG33" s="3"/>
      <c r="BL33" s="3"/>
      <c r="BM33" s="3"/>
      <c r="CC33" s="3"/>
      <c r="CD33" s="3"/>
    </row>
    <row r="34" spans="1:82" x14ac:dyDescent="0.4">
      <c r="A34">
        <v>31</v>
      </c>
      <c r="B34" s="3">
        <f t="shared" si="0"/>
        <v>0.69314718055994529</v>
      </c>
      <c r="C34" s="3">
        <v>2</v>
      </c>
      <c r="D34" s="13">
        <f>fm_XN(B$2,D$2,J$2,ParamTable_SWC!E34,ParamTable_SWC!F34,ParamTable_SWC!G34,ParamTable_SWC!H34,ParamTable_SWC!I34,ParamTable_SWC!J34,ParamTable_SWC!K34)</f>
        <v>12.060998100000001</v>
      </c>
      <c r="E34">
        <f>fp_XN($F$2,$B$2,ParamTable_SWC!$C34,ParamTable_SWC!$D34,ParamTable_SWC!$L34,ParamTable_SWC!$M34,ParamTable_SWC!$N34,ParamTable_SWC!$O34,ParamTable_SWC!$P34)</f>
        <v>-15.256695839587172</v>
      </c>
      <c r="F34" s="13">
        <f>EXP(D34+E34)/ParamTable_SWC!Q34</f>
        <v>3.9411495566468037E-2</v>
      </c>
      <c r="G34" s="108">
        <f>ParamTable_SWC!$Q34*EXP(IF('SWC Model'!$H$2="IV",ParamTable_SWC!$T34,IF('SWC Model'!$H$2="III",ParamTable_SWC!$S34,IF('SWC Model'!$H$2="II",ParamTable_SWC!$R34,0))))</f>
        <v>1.0387312328784977</v>
      </c>
      <c r="H34" s="108">
        <f t="shared" si="1"/>
        <v>4.0937951379342787E-2</v>
      </c>
      <c r="I34" s="108" cm="1">
        <f t="array" ref="I34">fsite2025(H$2,$F34,G34,ParamTable_SWC!$Y34,IF('SWC Model'!H$2="IV",ParamTable_SWC!$AC34,IF('SWC Model'!H$2="III",ParamTable_SWC!$AB34,IF('SWC Model'!H$2="II",ParamTable_SWC!$AA34,ParamTable_SWC!$Z34))))</f>
        <v>1.0387312328784977</v>
      </c>
      <c r="J34" s="108">
        <f t="shared" si="2"/>
        <v>4.0937951379342787E-2</v>
      </c>
      <c r="K34" s="109">
        <f>ParamTable_SWC!$Q34*EXP(IF('SWC Model'!$L$2="IV",ParamTable_SWC!$T34,IF('SWC Model'!$L$2="III",ParamTable_SWC!$S34,IF('SWC Model'!$L$2="II",ParamTable_SWC!$R34,0))))</f>
        <v>1.0907330574882939</v>
      </c>
      <c r="L34" s="109">
        <f t="shared" si="3"/>
        <v>4.2987421059400018E-2</v>
      </c>
      <c r="M34" s="109" cm="1">
        <f t="array" ref="M34">fsite2025(L$2,$F34,K34,ParamTable_SWC!$Y34,IF('SWC Model'!L$2="IV",ParamTable_SWC!$AC34,IF('SWC Model'!L$2="III",ParamTable_SWC!$AB34,IF('SWC Model'!L$2="II",ParamTable_SWC!$AA34,ParamTable_SWC!$Z34))))</f>
        <v>1.0880418176814437</v>
      </c>
      <c r="N34" s="109">
        <f t="shared" si="4"/>
        <v>4.2881355273684044E-2</v>
      </c>
      <c r="O34" s="112">
        <f>ParamTable_SWC!$Q34*EXP(IF('SWC Model'!$P$2="IV",ParamTable_SWC!$T34,IF('SWC Model'!$P$2="III",ParamTable_SWC!$S34,IF('SWC Model'!$P$2="II",ParamTable_SWC!$R34,0))))</f>
        <v>1.4639671840185238</v>
      </c>
      <c r="P34" s="112">
        <f t="shared" si="5"/>
        <v>5.7697136182400743E-2</v>
      </c>
      <c r="Q34" s="112" cm="1">
        <f t="array" ref="Q34">fsite2025(P$2,$F34,O34,ParamTable_SWC!$Y34,IF('SWC Model'!P$2="IV",ParamTable_SWC!$AC34,IF('SWC Model'!P$2="III",ParamTable_SWC!$AB34,IF('SWC Model'!P$2="II",ParamTable_SWC!$AA34,ParamTable_SWC!$Z34))))</f>
        <v>1.4501349449848162</v>
      </c>
      <c r="R34" s="112">
        <f t="shared" si="6"/>
        <v>5.7151986955049458E-2</v>
      </c>
      <c r="S34" s="113">
        <f>ParamTable_SWC!$Q34*EXP(IF('SWC Model'!$T$2="IV",ParamTable_SWC!$T34,IF('SWC Model'!$T$2="III",ParamTable_SWC!$S34,IF('SWC Model'!$T$2="II",ParamTable_SWC!$R34,0))))</f>
        <v>2.6974044612318764</v>
      </c>
      <c r="T34" s="113">
        <f t="shared" si="7"/>
        <v>0.1063087439648112</v>
      </c>
      <c r="U34" s="113" cm="1">
        <f t="array" ref="U34">fsite2025(T$2,$F34,S34,ParamTable_SWC!$Y34,IF('SWC Model'!T$2="IV",ParamTable_SWC!$AC34,IF('SWC Model'!T$2="III",ParamTable_SWC!$AB34,IF('SWC Model'!T$2="II",ParamTable_SWC!$AA34,ParamTable_SWC!$Z34))))</f>
        <v>2.6356726097020844</v>
      </c>
      <c r="V34" s="113">
        <f t="shared" si="8"/>
        <v>0.10387579937193495</v>
      </c>
      <c r="Y34" s="13"/>
      <c r="Z34" s="13"/>
      <c r="AA34" s="13"/>
      <c r="AB34" s="13"/>
      <c r="AE34" s="13"/>
      <c r="AF34" s="13"/>
      <c r="AG34" s="13"/>
      <c r="AH34" s="13"/>
      <c r="AI34" s="13"/>
      <c r="AX34" s="3"/>
      <c r="BA34" s="3"/>
      <c r="BD34" s="3"/>
      <c r="BG34" s="3"/>
      <c r="BL34" s="3"/>
      <c r="BM34" s="3"/>
      <c r="CC34" s="3"/>
      <c r="CD34" s="3"/>
    </row>
    <row r="35" spans="1:82" x14ac:dyDescent="0.4">
      <c r="A35">
        <v>32</v>
      </c>
      <c r="B35" s="3">
        <f t="shared" si="0"/>
        <v>0.91629073187415511</v>
      </c>
      <c r="C35" s="3">
        <v>2.5</v>
      </c>
      <c r="D35" s="13">
        <f>fm_XN(B$2,D$2,J$2,ParamTable_SWC!E35,ParamTable_SWC!F35,ParamTable_SWC!G35,ParamTable_SWC!H35,ParamTable_SWC!I35,ParamTable_SWC!J35,ParamTable_SWC!K35)</f>
        <v>12.731883500000002</v>
      </c>
      <c r="E35">
        <f>fp_XN($F$2,$B$2,ParamTable_SWC!$C35,ParamTable_SWC!$D35,ParamTable_SWC!$L35,ParamTable_SWC!$M35,ParamTable_SWC!$N35,ParamTable_SWC!$O35,ParamTable_SWC!$P35)</f>
        <v>-16.267367848329318</v>
      </c>
      <c r="F35" s="13">
        <f>EXP(D35+E35)/ParamTable_SWC!Q35</f>
        <v>2.8283283205148758E-2</v>
      </c>
      <c r="G35" s="108">
        <f>ParamTable_SWC!$Q35*EXP(IF('SWC Model'!$H$2="IV",ParamTable_SWC!$T35,IF('SWC Model'!$H$2="III",ParamTable_SWC!$S35,IF('SWC Model'!$H$2="II",ParamTable_SWC!$R35,0))))</f>
        <v>1.0304545339535169</v>
      </c>
      <c r="H35" s="108">
        <f t="shared" si="1"/>
        <v>2.9144637413836896E-2</v>
      </c>
      <c r="I35" s="108" cm="1">
        <f t="array" ref="I35">fsite2025(H$2,$F35,G35,ParamTable_SWC!$Y35,IF('SWC Model'!H$2="IV",ParamTable_SWC!$AC35,IF('SWC Model'!H$2="III",ParamTable_SWC!$AB35,IF('SWC Model'!H$2="II",ParamTable_SWC!$AA35,ParamTable_SWC!$Z35))))</f>
        <v>1.0304545339535169</v>
      </c>
      <c r="J35" s="108">
        <f t="shared" si="2"/>
        <v>2.9144637413836896E-2</v>
      </c>
      <c r="K35" s="109">
        <f>ParamTable_SWC!$Q35*EXP(IF('SWC Model'!$L$2="IV",ParamTable_SWC!$T35,IF('SWC Model'!$L$2="III",ParamTable_SWC!$S35,IF('SWC Model'!$L$2="II",ParamTable_SWC!$R35,0))))</f>
        <v>1.0711148264954102</v>
      </c>
      <c r="L35" s="109">
        <f t="shared" si="3"/>
        <v>3.0294643983003463E-2</v>
      </c>
      <c r="M35" s="109" cm="1">
        <f t="array" ref="M35">fsite2025(L$2,$F35,K35,ParamTable_SWC!$Y35,IF('SWC Model'!L$2="IV",ParamTable_SWC!$AC35,IF('SWC Model'!L$2="III",ParamTable_SWC!$AB35,IF('SWC Model'!L$2="II",ParamTable_SWC!$AA35,ParamTable_SWC!$Z35))))</f>
        <v>1.0701961739354113</v>
      </c>
      <c r="N35" s="109">
        <f t="shared" si="4"/>
        <v>3.0268661472481879E-2</v>
      </c>
      <c r="O35" s="112">
        <f>ParamTable_SWC!$Q35*EXP(IF('SWC Model'!$P$2="IV",ParamTable_SWC!$T35,IF('SWC Model'!$P$2="III",ParamTable_SWC!$S35,IF('SWC Model'!$P$2="II",ParamTable_SWC!$R35,0))))</f>
        <v>1.3979403852224672</v>
      </c>
      <c r="P35" s="112">
        <f t="shared" si="5"/>
        <v>3.9538343819161791E-2</v>
      </c>
      <c r="Q35" s="112" cm="1">
        <f t="array" ref="Q35">fsite2025(P$2,$F35,O35,ParamTable_SWC!$Y35,IF('SWC Model'!P$2="IV",ParamTable_SWC!$AC35,IF('SWC Model'!P$2="III",ParamTable_SWC!$AB35,IF('SWC Model'!P$2="II",ParamTable_SWC!$AA35,ParamTable_SWC!$Z35))))</f>
        <v>1.3945095345117775</v>
      </c>
      <c r="R35" s="112">
        <f t="shared" si="6"/>
        <v>3.9441308096876772E-2</v>
      </c>
      <c r="S35" s="113">
        <f>ParamTable_SWC!$Q35*EXP(IF('SWC Model'!$T$2="IV",ParamTable_SWC!$T35,IF('SWC Model'!$T$2="III",ParamTable_SWC!$S35,IF('SWC Model'!$T$2="II",ParamTable_SWC!$R35,0))))</f>
        <v>2.4028847626825667</v>
      </c>
      <c r="T35" s="113">
        <f t="shared" si="7"/>
        <v>6.7961470252287701E-2</v>
      </c>
      <c r="U35" s="113" cm="1">
        <f t="array" ref="U35">fsite2025(T$2,$F35,S35,ParamTable_SWC!$Y35,IF('SWC Model'!T$2="IV",ParamTable_SWC!$AC35,IF('SWC Model'!T$2="III",ParamTable_SWC!$AB35,IF('SWC Model'!T$2="II",ParamTable_SWC!$AA35,ParamTable_SWC!$Z35))))</f>
        <v>2.3940208019385634</v>
      </c>
      <c r="V35" s="113">
        <f t="shared" si="8"/>
        <v>6.7710768340245725E-2</v>
      </c>
      <c r="Y35" s="13"/>
      <c r="Z35" s="13"/>
      <c r="AA35" s="13"/>
      <c r="AB35" s="13"/>
      <c r="AE35" s="13"/>
      <c r="AF35" s="13"/>
      <c r="AG35" s="13"/>
      <c r="AH35" s="13"/>
      <c r="AI35" s="13"/>
      <c r="AX35" s="3"/>
      <c r="BA35" s="3"/>
      <c r="BD35" s="3"/>
      <c r="BG35" s="3"/>
      <c r="BL35" s="3"/>
      <c r="BM35" s="3"/>
      <c r="CC35" s="3"/>
      <c r="CD35" s="3"/>
    </row>
    <row r="36" spans="1:82" x14ac:dyDescent="0.4">
      <c r="A36">
        <v>33</v>
      </c>
      <c r="B36" s="3">
        <f t="shared" si="0"/>
        <v>1.0986122886681098</v>
      </c>
      <c r="C36" s="3">
        <v>3</v>
      </c>
      <c r="D36" s="13">
        <f>fm_XN(B$2,D$2,J$2,ParamTable_SWC!E36,ParamTable_SWC!F36,ParamTable_SWC!G36,ParamTable_SWC!H36,ParamTable_SWC!I36,ParamTable_SWC!J36,ParamTable_SWC!K36)</f>
        <v>13.2852075</v>
      </c>
      <c r="E36">
        <f>fp_XN($F$2,$B$2,ParamTable_SWC!$C36,ParamTable_SWC!$D36,ParamTable_SWC!$L36,ParamTable_SWC!$M36,ParamTable_SWC!$N36,ParamTable_SWC!$O36,ParamTable_SWC!$P36)</f>
        <v>-17.107565948966233</v>
      </c>
      <c r="F36" s="13">
        <f>EXP(D36+E36)/ParamTable_SWC!Q36</f>
        <v>2.125084862816114E-2</v>
      </c>
      <c r="G36" s="108">
        <f>ParamTable_SWC!$Q36*EXP(IF('SWC Model'!$H$2="IV",ParamTable_SWC!$T36,IF('SWC Model'!$H$2="III",ParamTable_SWC!$S36,IF('SWC Model'!$H$2="II",ParamTable_SWC!$R36,0))))</f>
        <v>1.0294245944751308</v>
      </c>
      <c r="H36" s="108">
        <f t="shared" si="1"/>
        <v>2.1876146231297171E-2</v>
      </c>
      <c r="I36" s="108" cm="1">
        <f t="array" ref="I36">fsite2025(H$2,$F36,G36,ParamTable_SWC!$Y36,IF('SWC Model'!H$2="IV",ParamTable_SWC!$AC36,IF('SWC Model'!H$2="III",ParamTable_SWC!$AB36,IF('SWC Model'!H$2="II",ParamTable_SWC!$AA36,ParamTable_SWC!$Z36))))</f>
        <v>1.0294245944751308</v>
      </c>
      <c r="J36" s="108">
        <f t="shared" si="2"/>
        <v>2.1876146231297171E-2</v>
      </c>
      <c r="K36" s="109">
        <f>ParamTable_SWC!$Q36*EXP(IF('SWC Model'!$L$2="IV",ParamTable_SWC!$T36,IF('SWC Model'!$L$2="III",ParamTable_SWC!$S36,IF('SWC Model'!$L$2="II",ParamTable_SWC!$R36,0))))</f>
        <v>1.0694344956227011</v>
      </c>
      <c r="L36" s="109">
        <f t="shared" si="3"/>
        <v>2.2726390584211879E-2</v>
      </c>
      <c r="M36" s="109" cm="1">
        <f t="array" ref="M36">fsite2025(L$2,$F36,K36,ParamTable_SWC!$Y36,IF('SWC Model'!L$2="IV",ParamTable_SWC!$AC36,IF('SWC Model'!L$2="III",ParamTable_SWC!$AB36,IF('SWC Model'!L$2="II",ParamTable_SWC!$AA36,ParamTable_SWC!$Z36))))</f>
        <v>1.0694344956227011</v>
      </c>
      <c r="N36" s="109">
        <f t="shared" si="4"/>
        <v>2.2726390584211879E-2</v>
      </c>
      <c r="O36" s="112">
        <f>ParamTable_SWC!$Q36*EXP(IF('SWC Model'!$P$2="IV",ParamTable_SWC!$T36,IF('SWC Model'!$P$2="III",ParamTable_SWC!$S36,IF('SWC Model'!$P$2="II",ParamTable_SWC!$R36,0))))</f>
        <v>1.3651304611446755</v>
      </c>
      <c r="P36" s="112">
        <f t="shared" si="5"/>
        <v>2.9010180787477313E-2</v>
      </c>
      <c r="Q36" s="112" cm="1">
        <f t="array" ref="Q36">fsite2025(P$2,$F36,O36,ParamTable_SWC!$Y36,IF('SWC Model'!P$2="IV",ParamTable_SWC!$AC36,IF('SWC Model'!P$2="III",ParamTable_SWC!$AB36,IF('SWC Model'!P$2="II",ParamTable_SWC!$AA36,ParamTable_SWC!$Z36))))</f>
        <v>1.3651304611446755</v>
      </c>
      <c r="R36" s="112">
        <f t="shared" si="6"/>
        <v>2.9010180787477313E-2</v>
      </c>
      <c r="S36" s="113">
        <f>ParamTable_SWC!$Q36*EXP(IF('SWC Model'!$T$2="IV",ParamTable_SWC!$T36,IF('SWC Model'!$T$2="III",ParamTable_SWC!$S36,IF('SWC Model'!$T$2="II",ParamTable_SWC!$R36,0))))</f>
        <v>2.2182974783044282</v>
      </c>
      <c r="T36" s="113">
        <f t="shared" si="7"/>
        <v>4.714070392367898E-2</v>
      </c>
      <c r="U36" s="113" cm="1">
        <f t="array" ref="U36">fsite2025(T$2,$F36,S36,ParamTable_SWC!$Y36,IF('SWC Model'!T$2="IV",ParamTable_SWC!$AC36,IF('SWC Model'!T$2="III",ParamTable_SWC!$AB36,IF('SWC Model'!T$2="II",ParamTable_SWC!$AA36,ParamTable_SWC!$Z36))))</f>
        <v>2.2182974783044282</v>
      </c>
      <c r="V36" s="113">
        <f t="shared" si="8"/>
        <v>4.714070392367898E-2</v>
      </c>
      <c r="Y36" s="13"/>
      <c r="Z36" s="13"/>
      <c r="AA36" s="13"/>
      <c r="AB36" s="13"/>
      <c r="AE36" s="13"/>
      <c r="AF36" s="13"/>
      <c r="AG36" s="13"/>
      <c r="AH36" s="13"/>
      <c r="AI36" s="13"/>
      <c r="AX36" s="3"/>
      <c r="BA36" s="3"/>
      <c r="BD36" s="3"/>
      <c r="BG36" s="3"/>
      <c r="BL36" s="3"/>
      <c r="BM36" s="3"/>
      <c r="CC36" s="3"/>
      <c r="CD36" s="3"/>
    </row>
    <row r="37" spans="1:82" x14ac:dyDescent="0.4">
      <c r="A37">
        <v>34</v>
      </c>
      <c r="B37" s="3">
        <f t="shared" si="0"/>
        <v>1.2527629684953681</v>
      </c>
      <c r="C37" s="3">
        <v>3.5</v>
      </c>
      <c r="D37" s="13">
        <f>fm_XN(B$2,D$2,J$2,ParamTable_SWC!E37,ParamTable_SWC!F37,ParamTable_SWC!G37,ParamTable_SWC!H37,ParamTable_SWC!I37,ParamTable_SWC!J37,ParamTable_SWC!K37)</f>
        <v>13.763804500000001</v>
      </c>
      <c r="E37">
        <f>fp_XN($F$2,$B$2,ParamTable_SWC!$C37,ParamTable_SWC!$D37,ParamTable_SWC!$L37,ParamTable_SWC!$M37,ParamTable_SWC!$N37,ParamTable_SWC!$O37,ParamTable_SWC!$P37)</f>
        <v>-17.845550461862629</v>
      </c>
      <c r="F37" s="13">
        <f>EXP(D37+E37)/ParamTable_SWC!Q37</f>
        <v>1.6330088347778399E-2</v>
      </c>
      <c r="G37" s="108">
        <f>ParamTable_SWC!$Q37*EXP(IF('SWC Model'!$H$2="IV",ParamTable_SWC!$T37,IF('SWC Model'!$H$2="III",ParamTable_SWC!$S37,IF('SWC Model'!$H$2="II",ParamTable_SWC!$R37,0))))</f>
        <v>1.0335505392413056</v>
      </c>
      <c r="H37" s="108">
        <f t="shared" si="1"/>
        <v>1.6877971617704525E-2</v>
      </c>
      <c r="I37" s="108" cm="1">
        <f t="array" ref="I37">fsite2025(H$2,$F37,G37,ParamTable_SWC!$Y37,IF('SWC Model'!H$2="IV",ParamTable_SWC!$AC37,IF('SWC Model'!H$2="III",ParamTable_SWC!$AB37,IF('SWC Model'!H$2="II",ParamTable_SWC!$AA37,ParamTable_SWC!$Z37))))</f>
        <v>1.0335505392413056</v>
      </c>
      <c r="J37" s="108">
        <f t="shared" si="2"/>
        <v>1.6877971617704525E-2</v>
      </c>
      <c r="K37" s="109">
        <f>ParamTable_SWC!$Q37*EXP(IF('SWC Model'!$L$2="IV",ParamTable_SWC!$T37,IF('SWC Model'!$L$2="III",ParamTable_SWC!$S37,IF('SWC Model'!$L$2="II",ParamTable_SWC!$R37,0))))</f>
        <v>1.0784879350529153</v>
      </c>
      <c r="L37" s="109">
        <f t="shared" si="3"/>
        <v>1.7611803261427198E-2</v>
      </c>
      <c r="M37" s="109" cm="1">
        <f t="array" ref="M37">fsite2025(L$2,$F37,K37,ParamTable_SWC!$Y37,IF('SWC Model'!L$2="IV",ParamTable_SWC!$AC37,IF('SWC Model'!L$2="III",ParamTable_SWC!$AB37,IF('SWC Model'!L$2="II",ParamTable_SWC!$AA37,ParamTable_SWC!$Z37))))</f>
        <v>1.0784879350529153</v>
      </c>
      <c r="N37" s="109">
        <f t="shared" si="4"/>
        <v>1.7611803261427198E-2</v>
      </c>
      <c r="O37" s="112">
        <f>ParamTable_SWC!$Q37*EXP(IF('SWC Model'!$P$2="IV",ParamTable_SWC!$T37,IF('SWC Model'!$P$2="III",ParamTable_SWC!$S37,IF('SWC Model'!$P$2="II",ParamTable_SWC!$R37,0))))</f>
        <v>1.3528047096430968</v>
      </c>
      <c r="P37" s="112">
        <f t="shared" si="5"/>
        <v>2.2091420425762478E-2</v>
      </c>
      <c r="Q37" s="112" cm="1">
        <f t="array" ref="Q37">fsite2025(P$2,$F37,O37,ParamTable_SWC!$Y37,IF('SWC Model'!P$2="IV",ParamTable_SWC!$AC37,IF('SWC Model'!P$2="III",ParamTable_SWC!$AB37,IF('SWC Model'!P$2="II",ParamTable_SWC!$AA37,ParamTable_SWC!$Z37))))</f>
        <v>1.3528047096430968</v>
      </c>
      <c r="R37" s="112">
        <f t="shared" si="6"/>
        <v>2.2091420425762478E-2</v>
      </c>
      <c r="S37" s="113">
        <f>ParamTable_SWC!$Q37*EXP(IF('SWC Model'!$T$2="IV",ParamTable_SWC!$T37,IF('SWC Model'!$T$2="III",ParamTable_SWC!$S37,IF('SWC Model'!$T$2="II",ParamTable_SWC!$R37,0))))</f>
        <v>2.1198386981267885</v>
      </c>
      <c r="T37" s="113">
        <f t="shared" si="7"/>
        <v>3.4617153223449999E-2</v>
      </c>
      <c r="U37" s="113" cm="1">
        <f t="array" ref="U37">fsite2025(T$2,$F37,S37,ParamTable_SWC!$Y37,IF('SWC Model'!T$2="IV",ParamTable_SWC!$AC37,IF('SWC Model'!T$2="III",ParamTable_SWC!$AB37,IF('SWC Model'!T$2="II",ParamTable_SWC!$AA37,ParamTable_SWC!$Z37))))</f>
        <v>2.1198386981267885</v>
      </c>
      <c r="V37" s="113">
        <f t="shared" si="8"/>
        <v>3.4617153223449999E-2</v>
      </c>
      <c r="Y37" s="13"/>
      <c r="Z37" s="13"/>
      <c r="AA37" s="13"/>
      <c r="AB37" s="13"/>
      <c r="AE37" s="13"/>
      <c r="AF37" s="13"/>
      <c r="AG37" s="13"/>
      <c r="AH37" s="13"/>
      <c r="AI37" s="13"/>
      <c r="AX37" s="3"/>
      <c r="BA37" s="3"/>
      <c r="BD37" s="3"/>
      <c r="BG37" s="3"/>
      <c r="BL37" s="3"/>
      <c r="BM37" s="3"/>
      <c r="CC37" s="3"/>
      <c r="CD37" s="3"/>
    </row>
    <row r="38" spans="1:82" x14ac:dyDescent="0.4">
      <c r="A38">
        <v>35</v>
      </c>
      <c r="B38" s="3">
        <f t="shared" si="0"/>
        <v>1.3862943611198906</v>
      </c>
      <c r="C38" s="3">
        <v>4</v>
      </c>
      <c r="D38" s="13">
        <f>fm_XN(B$2,D$2,J$2,ParamTable_SWC!E38,ParamTable_SWC!F38,ParamTable_SWC!G38,ParamTable_SWC!H38,ParamTable_SWC!I38,ParamTable_SWC!J38,ParamTable_SWC!K38)</f>
        <v>14.148213699999999</v>
      </c>
      <c r="E38">
        <f>fp_XN($F$2,$B$2,ParamTable_SWC!$C38,ParamTable_SWC!$D38,ParamTable_SWC!$L38,ParamTable_SWC!$M38,ParamTable_SWC!$N38,ParamTable_SWC!$O38,ParamTable_SWC!$P38)</f>
        <v>-18.467561174522583</v>
      </c>
      <c r="F38" s="13">
        <f>EXP(D38+E38)/ParamTable_SWC!Q38</f>
        <v>1.2812327641783694E-2</v>
      </c>
      <c r="G38" s="108">
        <f>ParamTable_SWC!$Q38*EXP(IF('SWC Model'!$H$2="IV",ParamTable_SWC!$T38,IF('SWC Model'!$H$2="III",ParamTable_SWC!$S38,IF('SWC Model'!$H$2="II",ParamTable_SWC!$R38,0))))</f>
        <v>1.0387312328784977</v>
      </c>
      <c r="H38" s="108">
        <f t="shared" si="1"/>
        <v>1.330856488739323E-2</v>
      </c>
      <c r="I38" s="108" cm="1">
        <f t="array" ref="I38">fsite2025(H$2,$F38,G38,ParamTable_SWC!$Y38,IF('SWC Model'!H$2="IV",ParamTable_SWC!$AC38,IF('SWC Model'!H$2="III",ParamTable_SWC!$AB38,IF('SWC Model'!H$2="II",ParamTable_SWC!$AA38,ParamTable_SWC!$Z38))))</f>
        <v>1.0387312328784977</v>
      </c>
      <c r="J38" s="108">
        <f t="shared" si="2"/>
        <v>1.330856488739323E-2</v>
      </c>
      <c r="K38" s="109">
        <f>ParamTable_SWC!$Q38*EXP(IF('SWC Model'!$L$2="IV",ParamTable_SWC!$T38,IF('SWC Model'!$L$2="III",ParamTable_SWC!$S38,IF('SWC Model'!$L$2="II",ParamTable_SWC!$R38,0))))</f>
        <v>1.0915623296955081</v>
      </c>
      <c r="L38" s="109">
        <f t="shared" si="3"/>
        <v>1.3985454209487566E-2</v>
      </c>
      <c r="M38" s="109" cm="1">
        <f t="array" ref="M38">fsite2025(L$2,$F38,K38,ParamTable_SWC!$Y38,IF('SWC Model'!L$2="IV",ParamTable_SWC!$AC38,IF('SWC Model'!L$2="III",ParamTable_SWC!$AB38,IF('SWC Model'!L$2="II",ParamTable_SWC!$AA38,ParamTable_SWC!$Z38))))</f>
        <v>1.0915623296955081</v>
      </c>
      <c r="N38" s="109">
        <f t="shared" si="4"/>
        <v>1.3985454209487566E-2</v>
      </c>
      <c r="O38" s="112">
        <f>ParamTable_SWC!$Q38*EXP(IF('SWC Model'!$P$2="IV",ParamTable_SWC!$T38,IF('SWC Model'!$P$2="III",ParamTable_SWC!$S38,IF('SWC Model'!$P$2="II",ParamTable_SWC!$R38,0))))</f>
        <v>1.3503718513950338</v>
      </c>
      <c r="P38" s="112">
        <f t="shared" si="5"/>
        <v>1.7301406598315215E-2</v>
      </c>
      <c r="Q38" s="112" cm="1">
        <f t="array" ref="Q38">fsite2025(P$2,$F38,O38,ParamTable_SWC!$Y38,IF('SWC Model'!P$2="IV",ParamTable_SWC!$AC38,IF('SWC Model'!P$2="III",ParamTable_SWC!$AB38,IF('SWC Model'!P$2="II",ParamTable_SWC!$AA38,ParamTable_SWC!$Z38))))</f>
        <v>1.3503718513950338</v>
      </c>
      <c r="R38" s="112">
        <f t="shared" si="6"/>
        <v>1.7301406598315215E-2</v>
      </c>
      <c r="S38" s="113">
        <f>ParamTable_SWC!$Q38*EXP(IF('SWC Model'!$T$2="IV",ParamTable_SWC!$T38,IF('SWC Model'!$T$2="III",ParamTable_SWC!$S38,IF('SWC Model'!$T$2="II",ParamTable_SWC!$R38,0))))</f>
        <v>2.068988829988665</v>
      </c>
      <c r="T38" s="113">
        <f t="shared" si="7"/>
        <v>2.6508562777005477E-2</v>
      </c>
      <c r="U38" s="113" cm="1">
        <f t="array" ref="U38">fsite2025(T$2,$F38,S38,ParamTable_SWC!$Y38,IF('SWC Model'!T$2="IV",ParamTable_SWC!$AC38,IF('SWC Model'!T$2="III",ParamTable_SWC!$AB38,IF('SWC Model'!T$2="II",ParamTable_SWC!$AA38,ParamTable_SWC!$Z38))))</f>
        <v>2.068988829988665</v>
      </c>
      <c r="V38" s="113">
        <f t="shared" si="8"/>
        <v>2.6508562777005477E-2</v>
      </c>
      <c r="Y38" s="13"/>
      <c r="Z38" s="13"/>
      <c r="AA38" s="13"/>
      <c r="AB38" s="13"/>
      <c r="AE38" s="13"/>
      <c r="AF38" s="13"/>
      <c r="AG38" s="13"/>
      <c r="AH38" s="13"/>
      <c r="AI38" s="13"/>
      <c r="AX38" s="3"/>
      <c r="BA38" s="3"/>
      <c r="BD38" s="3"/>
      <c r="BG38" s="3"/>
      <c r="BL38" s="3"/>
      <c r="BM38" s="3"/>
      <c r="CC38" s="3"/>
      <c r="CD38" s="3"/>
    </row>
    <row r="39" spans="1:82" x14ac:dyDescent="0.4">
      <c r="A39">
        <v>36</v>
      </c>
      <c r="B39" s="3">
        <f t="shared" si="0"/>
        <v>1.5040773967762742</v>
      </c>
      <c r="C39" s="3">
        <v>4.5</v>
      </c>
      <c r="D39" s="13">
        <f>fm_XN(B$2,D$2,J$2,ParamTable_SWC!E39,ParamTable_SWC!F39,ParamTable_SWC!G39,ParamTable_SWC!H39,ParamTable_SWC!I39,ParamTable_SWC!J39,ParamTable_SWC!K39)</f>
        <v>14.4647396</v>
      </c>
      <c r="E39">
        <f>fp_XN($F$2,$B$2,ParamTable_SWC!$C39,ParamTable_SWC!$D39,ParamTable_SWC!$L39,ParamTable_SWC!$M39,ParamTable_SWC!$N39,ParamTable_SWC!$O39,ParamTable_SWC!$P39)</f>
        <v>-18.999154692077873</v>
      </c>
      <c r="F39" s="13">
        <f>EXP(D39+E39)/ParamTable_SWC!Q39</f>
        <v>1.0260896221019038E-2</v>
      </c>
      <c r="G39" s="108">
        <f>ParamTable_SWC!$Q39*EXP(IF('SWC Model'!$H$2="IV",ParamTable_SWC!$T39,IF('SWC Model'!$H$2="III",ParamTable_SWC!$S39,IF('SWC Model'!$H$2="II",ParamTable_SWC!$R39,0))))</f>
        <v>1.0460278599087169</v>
      </c>
      <c r="H39" s="108">
        <f t="shared" si="1"/>
        <v>1.0733183314817986E-2</v>
      </c>
      <c r="I39" s="108" cm="1">
        <f t="array" ref="I39">fsite2025(H$2,$F39,G39,ParamTable_SWC!$Y39,IF('SWC Model'!H$2="IV",ParamTable_SWC!$AC39,IF('SWC Model'!H$2="III",ParamTable_SWC!$AB39,IF('SWC Model'!H$2="II",ParamTable_SWC!$AA39,ParamTable_SWC!$Z39))))</f>
        <v>1.0460278599087169</v>
      </c>
      <c r="J39" s="108">
        <f t="shared" si="2"/>
        <v>1.0733183314817986E-2</v>
      </c>
      <c r="K39" s="109">
        <f>ParamTable_SWC!$Q39*EXP(IF('SWC Model'!$L$2="IV",ParamTable_SWC!$T39,IF('SWC Model'!$L$2="III",ParamTable_SWC!$S39,IF('SWC Model'!$L$2="II",ParamTable_SWC!$R39,0))))</f>
        <v>1.1084249015867074</v>
      </c>
      <c r="L39" s="109">
        <f t="shared" si="3"/>
        <v>1.1373432883974445E-2</v>
      </c>
      <c r="M39" s="109" cm="1">
        <f t="array" ref="M39">fsite2025(L$2,$F39,K39,ParamTable_SWC!$Y39,IF('SWC Model'!L$2="IV",ParamTable_SWC!$AC39,IF('SWC Model'!L$2="III",ParamTable_SWC!$AB39,IF('SWC Model'!L$2="II",ParamTable_SWC!$AA39,ParamTable_SWC!$Z39))))</f>
        <v>1.1084249015867074</v>
      </c>
      <c r="N39" s="109">
        <f t="shared" si="4"/>
        <v>1.1373432883974445E-2</v>
      </c>
      <c r="O39" s="112">
        <f>ParamTable_SWC!$Q39*EXP(IF('SWC Model'!$P$2="IV",ParamTable_SWC!$T39,IF('SWC Model'!$P$2="III",ParamTable_SWC!$S39,IF('SWC Model'!$P$2="II",ParamTable_SWC!$R39,0))))</f>
        <v>1.3562723263553937</v>
      </c>
      <c r="P39" s="112">
        <f t="shared" si="5"/>
        <v>1.3916569588172759E-2</v>
      </c>
      <c r="Q39" s="112" cm="1">
        <f t="array" ref="Q39">fsite2025(P$2,$F39,O39,ParamTable_SWC!$Y39,IF('SWC Model'!P$2="IV",ParamTable_SWC!$AC39,IF('SWC Model'!P$2="III",ParamTable_SWC!$AB39,IF('SWC Model'!P$2="II",ParamTable_SWC!$AA39,ParamTable_SWC!$Z39))))</f>
        <v>1.3562723263553937</v>
      </c>
      <c r="R39" s="112">
        <f t="shared" si="6"/>
        <v>1.3916569588172759E-2</v>
      </c>
      <c r="S39" s="113">
        <f>ParamTable_SWC!$Q39*EXP(IF('SWC Model'!$T$2="IV",ParamTable_SWC!$T39,IF('SWC Model'!$T$2="III",ParamTable_SWC!$S39,IF('SWC Model'!$T$2="II",ParamTable_SWC!$R39,0))))</f>
        <v>2.0487707927137566</v>
      </c>
      <c r="T39" s="113">
        <f t="shared" si="7"/>
        <v>2.1022224484690766E-2</v>
      </c>
      <c r="U39" s="113" cm="1">
        <f t="array" ref="U39">fsite2025(T$2,$F39,S39,ParamTable_SWC!$Y39,IF('SWC Model'!T$2="IV",ParamTable_SWC!$AC39,IF('SWC Model'!T$2="III",ParamTable_SWC!$AB39,IF('SWC Model'!T$2="II",ParamTable_SWC!$AA39,ParamTable_SWC!$Z39))))</f>
        <v>2.0487707927137566</v>
      </c>
      <c r="V39" s="113">
        <f t="shared" si="8"/>
        <v>2.1022224484690766E-2</v>
      </c>
      <c r="Y39" s="13"/>
      <c r="Z39" s="13"/>
      <c r="AA39" s="13"/>
      <c r="AB39" s="13"/>
      <c r="AE39" s="13"/>
      <c r="AF39" s="13"/>
      <c r="AG39" s="13"/>
      <c r="AH39" s="13"/>
      <c r="AI39" s="13"/>
      <c r="AX39" s="3"/>
      <c r="BA39" s="3"/>
      <c r="BD39" s="3"/>
      <c r="BG39" s="3"/>
      <c r="BL39" s="3"/>
      <c r="BM39" s="3"/>
      <c r="CC39" s="3"/>
      <c r="CD39" s="3"/>
    </row>
    <row r="40" spans="1:82" x14ac:dyDescent="0.4">
      <c r="A40">
        <v>37</v>
      </c>
      <c r="B40" s="3">
        <f t="shared" si="0"/>
        <v>1.6094379124341003</v>
      </c>
      <c r="C40" s="3">
        <v>5</v>
      </c>
      <c r="D40" s="13">
        <f>fm_XN(B$2,D$2,J$2,ParamTable_SWC!E40,ParamTable_SWC!F40,ParamTable_SWC!G40,ParamTable_SWC!H40,ParamTable_SWC!I40,ParamTable_SWC!J40,ParamTable_SWC!K40)</f>
        <v>14.7255061</v>
      </c>
      <c r="E40">
        <f>fp_XN($F$2,$B$2,ParamTable_SWC!$C40,ParamTable_SWC!$D40,ParamTable_SWC!$L40,ParamTable_SWC!$M40,ParamTable_SWC!$N40,ParamTable_SWC!$O40,ParamTable_SWC!$P40)</f>
        <v>-19.456895820264236</v>
      </c>
      <c r="F40" s="13">
        <f>EXP(D40+E40)/ParamTable_SWC!Q40</f>
        <v>8.375958833314762E-3</v>
      </c>
      <c r="G40" s="108">
        <f>ParamTable_SWC!$Q40*EXP(IF('SWC Model'!$H$2="IV",ParamTable_SWC!$T40,IF('SWC Model'!$H$2="III",ParamTable_SWC!$S40,IF('SWC Model'!$H$2="II",ParamTable_SWC!$R40,0))))</f>
        <v>1.0523228932832038</v>
      </c>
      <c r="H40" s="108">
        <f t="shared" si="1"/>
        <v>8.8142132334947994E-3</v>
      </c>
      <c r="I40" s="108" cm="1">
        <f t="array" ref="I40">fsite2025(H$2,$F40,G40,ParamTable_SWC!$Y40,IF('SWC Model'!H$2="IV",ParamTable_SWC!$AC40,IF('SWC Model'!H$2="III",ParamTable_SWC!$AB40,IF('SWC Model'!H$2="II",ParamTable_SWC!$AA40,ParamTable_SWC!$Z40))))</f>
        <v>1.0523228932832038</v>
      </c>
      <c r="J40" s="108">
        <f t="shared" si="2"/>
        <v>8.8142132334947994E-3</v>
      </c>
      <c r="K40" s="109">
        <f>ParamTable_SWC!$Q40*EXP(IF('SWC Model'!$L$2="IV",ParamTable_SWC!$T40,IF('SWC Model'!$L$2="III",ParamTable_SWC!$S40,IF('SWC Model'!$L$2="II",ParamTable_SWC!$R40,0))))</f>
        <v>1.1249853349821528</v>
      </c>
      <c r="L40" s="109">
        <f t="shared" si="3"/>
        <v>9.4228308538933294E-3</v>
      </c>
      <c r="M40" s="109" cm="1">
        <f t="array" ref="M40">fsite2025(L$2,$F40,K40,ParamTable_SWC!$Y40,IF('SWC Model'!L$2="IV",ParamTable_SWC!$AC40,IF('SWC Model'!L$2="III",ParamTable_SWC!$AB40,IF('SWC Model'!L$2="II",ParamTable_SWC!$AA40,ParamTable_SWC!$Z40))))</f>
        <v>1.1249853349821528</v>
      </c>
      <c r="N40" s="109">
        <f t="shared" si="4"/>
        <v>9.4228308538933294E-3</v>
      </c>
      <c r="O40" s="112">
        <f>ParamTable_SWC!$Q40*EXP(IF('SWC Model'!$P$2="IV",ParamTable_SWC!$T40,IF('SWC Model'!$P$2="III",ParamTable_SWC!$S40,IF('SWC Model'!$P$2="II",ParamTable_SWC!$R40,0))))</f>
        <v>1.3646391026285027</v>
      </c>
      <c r="P40" s="112">
        <f t="shared" si="5"/>
        <v>1.1430160945947938E-2</v>
      </c>
      <c r="Q40" s="112" cm="1">
        <f t="array" ref="Q40">fsite2025(P$2,$F40,O40,ParamTable_SWC!$Y40,IF('SWC Model'!P$2="IV",ParamTable_SWC!$AC40,IF('SWC Model'!P$2="III",ParamTable_SWC!$AB40,IF('SWC Model'!P$2="II",ParamTable_SWC!$AA40,ParamTable_SWC!$Z40))))</f>
        <v>1.3646391026285027</v>
      </c>
      <c r="R40" s="112">
        <f t="shared" si="6"/>
        <v>1.1430160945947938E-2</v>
      </c>
      <c r="S40" s="113">
        <f>ParamTable_SWC!$Q40*EXP(IF('SWC Model'!$T$2="IV",ParamTable_SWC!$T40,IF('SWC Model'!$T$2="III",ParamTable_SWC!$S40,IF('SWC Model'!$T$2="II",ParamTable_SWC!$R40,0))))</f>
        <v>2.0435326471714292</v>
      </c>
      <c r="T40" s="113">
        <f t="shared" si="7"/>
        <v>1.7116545327242633E-2</v>
      </c>
      <c r="U40" s="113" cm="1">
        <f t="array" ref="U40">fsite2025(T$2,$F40,S40,ParamTable_SWC!$Y40,IF('SWC Model'!T$2="IV",ParamTable_SWC!$AC40,IF('SWC Model'!T$2="III",ParamTable_SWC!$AB40,IF('SWC Model'!T$2="II",ParamTable_SWC!$AA40,ParamTable_SWC!$Z40))))</f>
        <v>2.0435326471714292</v>
      </c>
      <c r="V40" s="113">
        <f t="shared" si="8"/>
        <v>1.7116545327242633E-2</v>
      </c>
      <c r="Y40" s="13"/>
      <c r="Z40" s="13"/>
      <c r="AA40" s="13"/>
      <c r="AB40" s="13"/>
      <c r="AE40" s="13"/>
      <c r="AF40" s="13"/>
      <c r="AG40" s="13"/>
      <c r="AH40" s="13"/>
      <c r="AI40" s="13"/>
      <c r="AX40" s="3"/>
      <c r="BA40" s="3"/>
      <c r="BD40" s="3"/>
      <c r="BG40" s="3"/>
      <c r="BL40" s="3"/>
      <c r="BM40" s="3"/>
      <c r="CC40" s="3"/>
      <c r="CD40" s="3"/>
    </row>
    <row r="41" spans="1:82" x14ac:dyDescent="0.4">
      <c r="A41">
        <v>38</v>
      </c>
      <c r="B41" s="3">
        <f t="shared" si="0"/>
        <v>1.791759469228055</v>
      </c>
      <c r="C41" s="3">
        <v>6</v>
      </c>
      <c r="D41" s="13">
        <f>fm_XN(B$2,D$2,J$2,ParamTable_SWC!E41,ParamTable_SWC!F41,ParamTable_SWC!G41,ParamTable_SWC!H41,ParamTable_SWC!I41,ParamTable_SWC!J41,ParamTable_SWC!K41)</f>
        <v>15.114927400000001</v>
      </c>
      <c r="E41">
        <f>fp_XN($F$2,$B$2,ParamTable_SWC!$C41,ParamTable_SWC!$D41,ParamTable_SWC!$L41,ParamTable_SWC!$M41,ParamTable_SWC!$N41,ParamTable_SWC!$O41,ParamTable_SWC!$P41)</f>
        <v>-20.204178350144616</v>
      </c>
      <c r="F41" s="13">
        <f>EXP(D41+E41)/ParamTable_SWC!Q41</f>
        <v>5.7748040716050194E-3</v>
      </c>
      <c r="G41" s="108">
        <f>ParamTable_SWC!$Q41*EXP(IF('SWC Model'!$H$2="IV",ParamTable_SWC!$T41,IF('SWC Model'!$H$2="III",ParamTable_SWC!$S41,IF('SWC Model'!$H$2="II",ParamTable_SWC!$R41,0))))</f>
        <v>1.0671590243841926</v>
      </c>
      <c r="H41" s="108">
        <f t="shared" si="1"/>
        <v>6.1626342790638755E-3</v>
      </c>
      <c r="I41" s="108" cm="1">
        <f t="array" ref="I41">fsite2025(H$2,$F41,G41,ParamTable_SWC!$Y41,IF('SWC Model'!H$2="IV",ParamTable_SWC!$AC41,IF('SWC Model'!H$2="III",ParamTable_SWC!$AB41,IF('SWC Model'!H$2="II",ParamTable_SWC!$AA41,ParamTable_SWC!$Z41))))</f>
        <v>1.0671590243841926</v>
      </c>
      <c r="J41" s="108">
        <f t="shared" si="2"/>
        <v>6.1626342790638755E-3</v>
      </c>
      <c r="K41" s="109">
        <f>ParamTable_SWC!$Q41*EXP(IF('SWC Model'!$L$2="IV",ParamTable_SWC!$T41,IF('SWC Model'!$L$2="III",ParamTable_SWC!$S41,IF('SWC Model'!$L$2="II",ParamTable_SWC!$R41,0))))</f>
        <v>1.1609748034204272</v>
      </c>
      <c r="L41" s="109">
        <f t="shared" si="3"/>
        <v>6.7044020218231205E-3</v>
      </c>
      <c r="M41" s="109" cm="1">
        <f t="array" ref="M41">fsite2025(L$2,$F41,K41,ParamTable_SWC!$Y41,IF('SWC Model'!L$2="IV",ParamTable_SWC!$AC41,IF('SWC Model'!L$2="III",ParamTable_SWC!$AB41,IF('SWC Model'!L$2="II",ParamTable_SWC!$AA41,ParamTable_SWC!$Z41))))</f>
        <v>1.1609748034204272</v>
      </c>
      <c r="N41" s="109">
        <f t="shared" si="4"/>
        <v>6.7044020218231205E-3</v>
      </c>
      <c r="O41" s="112">
        <f>ParamTable_SWC!$Q41*EXP(IF('SWC Model'!$P$2="IV",ParamTable_SWC!$T41,IF('SWC Model'!$P$2="III",ParamTable_SWC!$S41,IF('SWC Model'!$P$2="II",ParamTable_SWC!$R41,0))))</f>
        <v>1.391190701169676</v>
      </c>
      <c r="P41" s="112">
        <f t="shared" si="5"/>
        <v>8.0338537254936865E-3</v>
      </c>
      <c r="Q41" s="112" cm="1">
        <f t="array" ref="Q41">fsite2025(P$2,$F41,O41,ParamTable_SWC!$Y41,IF('SWC Model'!P$2="IV",ParamTable_SWC!$AC41,IF('SWC Model'!P$2="III",ParamTable_SWC!$AB41,IF('SWC Model'!P$2="II",ParamTable_SWC!$AA41,ParamTable_SWC!$Z41))))</f>
        <v>1.391190701169676</v>
      </c>
      <c r="R41" s="112">
        <f t="shared" si="6"/>
        <v>8.0338537254936865E-3</v>
      </c>
      <c r="S41" s="113">
        <f>ParamTable_SWC!$Q41*EXP(IF('SWC Model'!$T$2="IV",ParamTable_SWC!$T41,IF('SWC Model'!$T$2="III",ParamTable_SWC!$S41,IF('SWC Model'!$T$2="II",ParamTable_SWC!$R41,0))))</f>
        <v>2.0652679998464376</v>
      </c>
      <c r="T41" s="113">
        <f t="shared" si="7"/>
        <v>1.1926518054468762E-2</v>
      </c>
      <c r="U41" s="113" cm="1">
        <f t="array" ref="U41">fsite2025(T$2,$F41,S41,ParamTable_SWC!$Y41,IF('SWC Model'!T$2="IV",ParamTable_SWC!$AC41,IF('SWC Model'!T$2="III",ParamTable_SWC!$AB41,IF('SWC Model'!T$2="II",ParamTable_SWC!$AA41,ParamTable_SWC!$Z41))))</f>
        <v>2.0652679998464376</v>
      </c>
      <c r="V41" s="113">
        <f t="shared" si="8"/>
        <v>1.1926518054468762E-2</v>
      </c>
      <c r="Y41" s="13"/>
      <c r="Z41" s="13"/>
      <c r="AA41" s="13"/>
      <c r="AB41" s="13"/>
      <c r="AE41" s="13"/>
      <c r="AF41" s="13"/>
      <c r="AG41" s="13"/>
      <c r="AH41" s="13"/>
      <c r="AI41" s="13"/>
    </row>
    <row r="42" spans="1:82" x14ac:dyDescent="0.4">
      <c r="A42">
        <v>39</v>
      </c>
      <c r="B42" s="3">
        <f t="shared" si="0"/>
        <v>1.9459101490553132</v>
      </c>
      <c r="C42" s="3">
        <v>7</v>
      </c>
      <c r="D42" s="13">
        <f>fm_XN(B$2,D$2,J$2,ParamTable_SWC!E42,ParamTable_SWC!F42,ParamTable_SWC!G42,ParamTable_SWC!H42,ParamTable_SWC!I42,ParamTable_SWC!J42,ParamTable_SWC!K42)</f>
        <v>15.370885500000002</v>
      </c>
      <c r="E42">
        <f>fp_XN($F$2,$B$2,ParamTable_SWC!$C42,ParamTable_SWC!$D42,ParamTable_SWC!$L42,ParamTable_SWC!$M42,ParamTable_SWC!$N42,ParamTable_SWC!$O42,ParamTable_SWC!$P42)</f>
        <v>-20.779887442946464</v>
      </c>
      <c r="F42" s="13">
        <f>EXP(D42+E42)/ParamTable_SWC!Q42</f>
        <v>4.1443805654628758E-3</v>
      </c>
      <c r="G42" s="108">
        <f>ParamTable_SWC!$Q42*EXP(IF('SWC Model'!$H$2="IV",ParamTable_SWC!$T42,IF('SWC Model'!$H$2="III",ParamTable_SWC!$S42,IF('SWC Model'!$H$2="II",ParamTable_SWC!$R42,0))))</f>
        <v>1.0800420763926004</v>
      </c>
      <c r="H42" s="108">
        <f t="shared" si="1"/>
        <v>4.4761053912836636E-3</v>
      </c>
      <c r="I42" s="108" cm="1">
        <f t="array" ref="I42">fsite2025(H$2,$F42,G42,ParamTable_SWC!$Y42,IF('SWC Model'!H$2="IV",ParamTable_SWC!$AC42,IF('SWC Model'!H$2="III",ParamTable_SWC!$AB42,IF('SWC Model'!H$2="II",ParamTable_SWC!$AA42,ParamTable_SWC!$Z42))))</f>
        <v>1.0800420763926004</v>
      </c>
      <c r="J42" s="108">
        <f t="shared" si="2"/>
        <v>4.4761053912836636E-3</v>
      </c>
      <c r="K42" s="109">
        <f>ParamTable_SWC!$Q42*EXP(IF('SWC Model'!$L$2="IV",ParamTable_SWC!$T42,IF('SWC Model'!$L$2="III",ParamTable_SWC!$S42,IF('SWC Model'!$L$2="II",ParamTable_SWC!$R42,0))))</f>
        <v>1.1938459660618856</v>
      </c>
      <c r="L42" s="109">
        <f t="shared" si="3"/>
        <v>4.9477520199031309E-3</v>
      </c>
      <c r="M42" s="109" cm="1">
        <f t="array" ref="M42">fsite2025(L$2,$F42,K42,ParamTable_SWC!$Y42,IF('SWC Model'!L$2="IV",ParamTable_SWC!$AC42,IF('SWC Model'!L$2="III",ParamTable_SWC!$AB42,IF('SWC Model'!L$2="II",ParamTable_SWC!$AA42,ParamTable_SWC!$Z42))))</f>
        <v>1.1938459660618856</v>
      </c>
      <c r="N42" s="109">
        <f t="shared" si="4"/>
        <v>4.9477520199031309E-3</v>
      </c>
      <c r="O42" s="112">
        <f>ParamTable_SWC!$Q42*EXP(IF('SWC Model'!$P$2="IV",ParamTable_SWC!$T42,IF('SWC Model'!$P$2="III",ParamTable_SWC!$S42,IF('SWC Model'!$P$2="II",ParamTable_SWC!$R42,0))))</f>
        <v>1.4201464498607388</v>
      </c>
      <c r="P42" s="112">
        <f t="shared" si="5"/>
        <v>5.8856273469139438E-3</v>
      </c>
      <c r="Q42" s="112" cm="1">
        <f t="array" ref="Q42">fsite2025(P$2,$F42,O42,ParamTable_SWC!$Y42,IF('SWC Model'!P$2="IV",ParamTable_SWC!$AC42,IF('SWC Model'!P$2="III",ParamTable_SWC!$AB42,IF('SWC Model'!P$2="II",ParamTable_SWC!$AA42,ParamTable_SWC!$Z42))))</f>
        <v>1.4201464498607388</v>
      </c>
      <c r="R42" s="112">
        <f t="shared" si="6"/>
        <v>5.8856273469139438E-3</v>
      </c>
      <c r="S42" s="113">
        <f>ParamTable_SWC!$Q42*EXP(IF('SWC Model'!$T$2="IV",ParamTable_SWC!$T42,IF('SWC Model'!$T$2="III",ParamTable_SWC!$S42,IF('SWC Model'!$T$2="II",ParamTable_SWC!$R42,0))))</f>
        <v>2.0975500063401165</v>
      </c>
      <c r="T42" s="113">
        <f t="shared" si="7"/>
        <v>8.6930454813625106E-3</v>
      </c>
      <c r="U42" s="113" cm="1">
        <f t="array" ref="U42">fsite2025(T$2,$F42,S42,ParamTable_SWC!$Y42,IF('SWC Model'!T$2="IV",ParamTable_SWC!$AC42,IF('SWC Model'!T$2="III",ParamTable_SWC!$AB42,IF('SWC Model'!T$2="II",ParamTable_SWC!$AA42,ParamTable_SWC!$Z42))))</f>
        <v>2.0975500063401165</v>
      </c>
      <c r="V42" s="113">
        <f t="shared" si="8"/>
        <v>8.6930454813625106E-3</v>
      </c>
      <c r="Y42" s="13"/>
      <c r="Z42" s="13"/>
      <c r="AA42" s="13"/>
      <c r="AB42" s="13"/>
      <c r="AE42" s="13"/>
      <c r="AF42" s="13"/>
      <c r="AG42" s="13"/>
      <c r="AH42" s="13"/>
      <c r="AI42" s="13"/>
    </row>
    <row r="43" spans="1:82" x14ac:dyDescent="0.4">
      <c r="A43">
        <v>40</v>
      </c>
      <c r="B43" s="3">
        <f t="shared" si="0"/>
        <v>2.0794415416798357</v>
      </c>
      <c r="C43" s="3">
        <v>8</v>
      </c>
      <c r="D43" s="13">
        <f>fm_XN(B$2,D$2,J$2,ParamTable_SWC!E43,ParamTable_SWC!F43,ParamTable_SWC!G43,ParamTable_SWC!H43,ParamTable_SWC!I43,ParamTable_SWC!J43,ParamTable_SWC!K43)</f>
        <v>15.528590000000001</v>
      </c>
      <c r="E43">
        <f>fp_XN($F$2,$B$2,ParamTable_SWC!$C43,ParamTable_SWC!$D43,ParamTable_SWC!$L43,ParamTable_SWC!$M43,ParamTable_SWC!$N43,ParamTable_SWC!$O43,ParamTable_SWC!$P43)</f>
        <v>-21.193578195538695</v>
      </c>
      <c r="F43" s="13">
        <f>EXP(D43+E43)/ParamTable_SWC!Q43</f>
        <v>3.1732842210116545E-3</v>
      </c>
      <c r="G43" s="108">
        <f>ParamTable_SWC!$Q43*EXP(IF('SWC Model'!$H$2="IV",ParamTable_SWC!$T43,IF('SWC Model'!$H$2="III",ParamTable_SWC!$S43,IF('SWC Model'!$H$2="II",ParamTable_SWC!$R43,0))))</f>
        <v>1.0919881220281975</v>
      </c>
      <c r="H43" s="108">
        <f t="shared" si="1"/>
        <v>3.465188677164228E-3</v>
      </c>
      <c r="I43" s="108" cm="1">
        <f t="array" ref="I43">fsite2025(H$2,$F43,G43,ParamTable_SWC!$Y43,IF('SWC Model'!H$2="IV",ParamTable_SWC!$AC43,IF('SWC Model'!H$2="III",ParamTable_SWC!$AB43,IF('SWC Model'!H$2="II",ParamTable_SWC!$AA43,ParamTable_SWC!$Z43))))</f>
        <v>1.0919881220281975</v>
      </c>
      <c r="J43" s="108">
        <f t="shared" si="2"/>
        <v>3.465188677164228E-3</v>
      </c>
      <c r="K43" s="109">
        <f>ParamTable_SWC!$Q43*EXP(IF('SWC Model'!$L$2="IV",ParamTable_SWC!$T43,IF('SWC Model'!$L$2="III",ParamTable_SWC!$S43,IF('SWC Model'!$L$2="II",ParamTable_SWC!$R43,0))))</f>
        <v>1.2236889182113713</v>
      </c>
      <c r="L43" s="109">
        <f t="shared" si="3"/>
        <v>3.8831127355869652E-3</v>
      </c>
      <c r="M43" s="109" cm="1">
        <f t="array" ref="M43">fsite2025(L$2,$F43,K43,ParamTable_SWC!$Y43,IF('SWC Model'!L$2="IV",ParamTable_SWC!$AC43,IF('SWC Model'!L$2="III",ParamTable_SWC!$AB43,IF('SWC Model'!L$2="II",ParamTable_SWC!$AA43,ParamTable_SWC!$Z43))))</f>
        <v>1.2236889182113713</v>
      </c>
      <c r="N43" s="109">
        <f t="shared" si="4"/>
        <v>3.8831127355869652E-3</v>
      </c>
      <c r="O43" s="112">
        <f>ParamTable_SWC!$Q43*EXP(IF('SWC Model'!$P$2="IV",ParamTable_SWC!$T43,IF('SWC Model'!$P$2="III",ParamTable_SWC!$S43,IF('SWC Model'!$P$2="II",ParamTable_SWC!$R43,0))))</f>
        <v>1.449849850947484</v>
      </c>
      <c r="P43" s="112">
        <f t="shared" si="5"/>
        <v>4.6007856548477503E-3</v>
      </c>
      <c r="Q43" s="112" cm="1">
        <f t="array" ref="Q43">fsite2025(P$2,$F43,O43,ParamTable_SWC!$Y43,IF('SWC Model'!P$2="IV",ParamTable_SWC!$AC43,IF('SWC Model'!P$2="III",ParamTable_SWC!$AB43,IF('SWC Model'!P$2="II",ParamTable_SWC!$AA43,ParamTable_SWC!$Z43))))</f>
        <v>1.449849850947484</v>
      </c>
      <c r="R43" s="112">
        <f t="shared" si="6"/>
        <v>4.6007856548477503E-3</v>
      </c>
      <c r="S43" s="113">
        <f>ParamTable_SWC!$Q43*EXP(IF('SWC Model'!$T$2="IV",ParamTable_SWC!$T43,IF('SWC Model'!$T$2="III",ParamTable_SWC!$S43,IF('SWC Model'!$T$2="II",ParamTable_SWC!$R43,0))))</f>
        <v>2.1264841880181735</v>
      </c>
      <c r="T43" s="113">
        <f t="shared" si="7"/>
        <v>6.7479387200688502E-3</v>
      </c>
      <c r="U43" s="113" cm="1">
        <f t="array" ref="U43">fsite2025(T$2,$F43,S43,ParamTable_SWC!$Y43,IF('SWC Model'!T$2="IV",ParamTable_SWC!$AC43,IF('SWC Model'!T$2="III",ParamTable_SWC!$AB43,IF('SWC Model'!T$2="II",ParamTable_SWC!$AA43,ParamTable_SWC!$Z43))))</f>
        <v>2.1264841880181735</v>
      </c>
      <c r="V43" s="113">
        <f t="shared" si="8"/>
        <v>6.7479387200688502E-3</v>
      </c>
      <c r="Y43" s="13"/>
      <c r="Z43" s="13"/>
      <c r="AA43" s="13"/>
      <c r="AB43" s="13"/>
      <c r="AE43" s="13"/>
      <c r="AF43" s="13"/>
      <c r="AG43" s="13"/>
      <c r="AH43" s="13"/>
      <c r="AI43" s="13"/>
    </row>
    <row r="44" spans="1:82" x14ac:dyDescent="0.4">
      <c r="A44">
        <v>41</v>
      </c>
      <c r="B44" s="3">
        <f t="shared" si="0"/>
        <v>2.3025850929940459</v>
      </c>
      <c r="C44" s="3">
        <v>10</v>
      </c>
      <c r="D44" s="13">
        <f>fm_XN(B$2,D$2,J$2,ParamTable_SWC!E44,ParamTable_SWC!F44,ParamTable_SWC!G44,ParamTable_SWC!H44,ParamTable_SWC!I44,ParamTable_SWC!J44,ParamTable_SWC!K44)</f>
        <v>15.638286600000001</v>
      </c>
      <c r="E44">
        <f>fp_XN($F$2,$B$2,ParamTable_SWC!$C44,ParamTable_SWC!$D44,ParamTable_SWC!$L44,ParamTable_SWC!$M44,ParamTable_SWC!$N44,ParamTable_SWC!$O44,ParamTable_SWC!$P44)</f>
        <v>-21.806361701278561</v>
      </c>
      <c r="F44" s="13">
        <f>EXP(D44+E44)/ParamTable_SWC!Q44</f>
        <v>1.8901953390083638E-3</v>
      </c>
      <c r="G44" s="108">
        <f>ParamTable_SWC!$Q44*EXP(IF('SWC Model'!$H$2="IV",ParamTable_SWC!$T44,IF('SWC Model'!$H$2="III",ParamTable_SWC!$S44,IF('SWC Model'!$H$2="II",ParamTable_SWC!$R44,0))))</f>
        <v>1.1084914090760072</v>
      </c>
      <c r="H44" s="108">
        <f t="shared" si="1"/>
        <v>2.0952652947662824E-3</v>
      </c>
      <c r="I44" s="108" cm="1">
        <f t="array" ref="I44">fsite2025(H$2,$F44,G44,ParamTable_SWC!$Y44,IF('SWC Model'!H$2="IV",ParamTable_SWC!$AC44,IF('SWC Model'!H$2="III",ParamTable_SWC!$AB44,IF('SWC Model'!H$2="II",ParamTable_SWC!$AA44,ParamTable_SWC!$Z44))))</f>
        <v>1.1084914090760072</v>
      </c>
      <c r="J44" s="108">
        <f t="shared" si="2"/>
        <v>2.0952652947662824E-3</v>
      </c>
      <c r="K44" s="109">
        <f>ParamTable_SWC!$Q44*EXP(IF('SWC Model'!$L$2="IV",ParamTable_SWC!$T44,IF('SWC Model'!$L$2="III",ParamTable_SWC!$S44,IF('SWC Model'!$L$2="II",ParamTable_SWC!$R44,0))))</f>
        <v>1.2676566010808674</v>
      </c>
      <c r="L44" s="109">
        <f t="shared" si="3"/>
        <v>2.3961185988262404E-3</v>
      </c>
      <c r="M44" s="109" cm="1">
        <f t="array" ref="M44">fsite2025(L$2,$F44,K44,ParamTable_SWC!$Y44,IF('SWC Model'!L$2="IV",ParamTable_SWC!$AC44,IF('SWC Model'!L$2="III",ParamTable_SWC!$AB44,IF('SWC Model'!L$2="II",ParamTable_SWC!$AA44,ParamTable_SWC!$Z44))))</f>
        <v>1.2676566010808674</v>
      </c>
      <c r="N44" s="109">
        <f t="shared" si="4"/>
        <v>2.3961185988262404E-3</v>
      </c>
      <c r="O44" s="112">
        <f>ParamTable_SWC!$Q44*EXP(IF('SWC Model'!$P$2="IV",ParamTable_SWC!$T44,IF('SWC Model'!$P$2="III",ParamTable_SWC!$S44,IF('SWC Model'!$P$2="II",ParamTable_SWC!$R44,0))))</f>
        <v>1.4994224490546673</v>
      </c>
      <c r="P44" s="112">
        <f t="shared" si="5"/>
        <v>2.8342013244076381E-3</v>
      </c>
      <c r="Q44" s="112" cm="1">
        <f t="array" ref="Q44">fsite2025(P$2,$F44,O44,ParamTable_SWC!$Y44,IF('SWC Model'!P$2="IV",ParamTable_SWC!$AC44,IF('SWC Model'!P$2="III",ParamTable_SWC!$AB44,IF('SWC Model'!P$2="II",ParamTable_SWC!$AA44,ParamTable_SWC!$Z44))))</f>
        <v>1.4994224490546673</v>
      </c>
      <c r="R44" s="112">
        <f t="shared" si="6"/>
        <v>2.8342013244076381E-3</v>
      </c>
      <c r="S44" s="113">
        <f>ParamTable_SWC!$Q44*EXP(IF('SWC Model'!$T$2="IV",ParamTable_SWC!$T44,IF('SWC Model'!$T$2="III",ParamTable_SWC!$S44,IF('SWC Model'!$T$2="II",ParamTable_SWC!$R44,0))))</f>
        <v>2.1656271582713296</v>
      </c>
      <c r="T44" s="113">
        <f t="shared" si="7"/>
        <v>4.093458360594395E-3</v>
      </c>
      <c r="U44" s="113" cm="1">
        <f t="array" ref="U44">fsite2025(T$2,$F44,S44,ParamTable_SWC!$Y44,IF('SWC Model'!T$2="IV",ParamTable_SWC!$AC44,IF('SWC Model'!T$2="III",ParamTable_SWC!$AB44,IF('SWC Model'!T$2="II",ParamTable_SWC!$AA44,ParamTable_SWC!$Z44))))</f>
        <v>2.1656271582713296</v>
      </c>
      <c r="V44" s="113">
        <f t="shared" si="8"/>
        <v>4.093458360594395E-3</v>
      </c>
      <c r="Y44" s="13"/>
      <c r="Z44" s="13"/>
      <c r="AA44" s="13"/>
      <c r="AB44" s="13"/>
      <c r="AE44" s="13"/>
      <c r="AF44" s="13"/>
      <c r="AG44" s="13"/>
      <c r="AH44" s="13"/>
      <c r="AI44" s="13"/>
    </row>
    <row r="45" spans="1:82" x14ac:dyDescent="0.4">
      <c r="A45">
        <v>42</v>
      </c>
      <c r="B45" s="3">
        <f>LN(C45)</f>
        <v>3.912023005428146</v>
      </c>
      <c r="C45" s="3">
        <v>50</v>
      </c>
      <c r="D45" s="13">
        <f>fm_XN(B$2,D$2,J$2,ParamTable_SWC!E45,ParamTable_SWC!F45,ParamTable_SWC!G45,ParamTable_SWC!H45,ParamTable_SWC!I45,ParamTable_SWC!J45,ParamTable_SWC!K45)</f>
        <v>13.431811699999999</v>
      </c>
      <c r="E45">
        <f>fp_XN($F$2,$B$2,ParamTable_SWC!$C45,ParamTable_SWC!$D45,ParamTable_SWC!$L45,ParamTable_SWC!$M45,ParamTable_SWC!$N45,ParamTable_SWC!$O45,ParamTable_SWC!$P45)</f>
        <v>-10.666964384632214</v>
      </c>
      <c r="F45" s="13">
        <f>EXP(D45+E45)/ParamTable_SWC!Q45</f>
        <v>13.327736507288916</v>
      </c>
      <c r="G45" s="108">
        <f>ParamTable_SWC!$Q45*EXP(IF('SWC Model'!$H$2="IV",ParamTable_SWC!$T45,IF('SWC Model'!$H$2="III",ParamTable_SWC!$S45,IF('SWC Model'!$H$2="II",ParamTable_SWC!$R45,0))))</f>
        <v>1.1912462166123581</v>
      </c>
      <c r="H45" s="108">
        <f t="shared" ref="H45" si="9">$F45*G45</f>
        <v>15.876615690314326</v>
      </c>
      <c r="I45" s="108" cm="1">
        <f t="array" ref="I45">fsite2025(H$2,$F45,G45,ParamTable_SWC!$Y45,IF('SWC Model'!H$2="IV",ParamTable_SWC!$AC45,IF('SWC Model'!H$2="III",ParamTable_SWC!$AB45,IF('SWC Model'!H$2="II",ParamTable_SWC!$AA45,ParamTable_SWC!$Z45))))</f>
        <v>1.1912462166123581</v>
      </c>
      <c r="J45" s="108">
        <f t="shared" ref="J45" si="10">$F45*I45</f>
        <v>15.876615690314326</v>
      </c>
      <c r="K45" s="109">
        <f>ParamTable_SWC!$Q45*EXP(IF('SWC Model'!$L$2="IV",ParamTable_SWC!$T45,IF('SWC Model'!$L$2="III",ParamTable_SWC!$S45,IF('SWC Model'!$L$2="II",ParamTable_SWC!$R45,0))))</f>
        <v>1.5671520637708825</v>
      </c>
      <c r="L45" s="109">
        <f t="shared" ref="L45" si="11">$F45*K45</f>
        <v>20.886589772792359</v>
      </c>
      <c r="M45" s="109" cm="1">
        <f t="array" ref="M45">fsite2025(L$2,$F45,K45,ParamTable_SWC!$Y45,IF('SWC Model'!L$2="IV",ParamTable_SWC!$AC45,IF('SWC Model'!L$2="III",ParamTable_SWC!$AB45,IF('SWC Model'!L$2="II",ParamTable_SWC!$AA45,ParamTable_SWC!$Z45))))</f>
        <v>1.5301969504701267</v>
      </c>
      <c r="N45" s="109">
        <f t="shared" ref="N45" si="12">$F45*M45</f>
        <v>20.394061760122877</v>
      </c>
      <c r="O45" s="112">
        <f>ParamTable_SWC!$Q45*EXP(IF('SWC Model'!$P$2="IV",ParamTable_SWC!$T45,IF('SWC Model'!$P$2="III",ParamTable_SWC!$S45,IF('SWC Model'!$P$2="II",ParamTable_SWC!$R45,0))))</f>
        <v>2.0739396271383113</v>
      </c>
      <c r="P45" s="112">
        <f t="shared" ref="P45" si="13">$F45*O45</f>
        <v>27.640920882524433</v>
      </c>
      <c r="Q45" s="112" cm="1">
        <f t="array" ref="Q45">fsite2025(P$2,$F45,O45,ParamTable_SWC!$Y45,IF('SWC Model'!P$2="IV",ParamTable_SWC!$AC45,IF('SWC Model'!P$2="III",ParamTable_SWC!$AB45,IF('SWC Model'!P$2="II",ParamTable_SWC!$AA45,ParamTable_SWC!$Z45))))</f>
        <v>1.8109875399665536</v>
      </c>
      <c r="R45" s="112">
        <f t="shared" ref="R45" si="14">$F45*Q45</f>
        <v>24.136364750657581</v>
      </c>
      <c r="S45" s="113">
        <f>ParamTable_SWC!$Q45*EXP(IF('SWC Model'!$T$2="IV",ParamTable_SWC!$T45,IF('SWC Model'!$T$2="III",ParamTable_SWC!$S45,IF('SWC Model'!$T$2="II",ParamTable_SWC!$R45,0))))</f>
        <v>3.1906032324471219</v>
      </c>
      <c r="T45" s="113">
        <f t="shared" ref="T45" si="15">$F45*S45</f>
        <v>42.523519181359532</v>
      </c>
      <c r="U45" s="113" cm="1">
        <f t="array" ref="U45">fsite2025(T$2,$F45,S45,ParamTable_SWC!$Y45,IF('SWC Model'!T$2="IV",ParamTable_SWC!$AC45,IF('SWC Model'!T$2="III",ParamTable_SWC!$AB45,IF('SWC Model'!T$2="II",ParamTable_SWC!$AA45,ParamTable_SWC!$Z45))))</f>
        <v>2.195620601082811</v>
      </c>
      <c r="V45" s="113">
        <f t="shared" ref="V45" si="16">$F45*U45</f>
        <v>29.262652841207014</v>
      </c>
    </row>
    <row r="51" spans="1:96" x14ac:dyDescent="0.4">
      <c r="A51" s="4"/>
      <c r="B51" s="16"/>
      <c r="C51" s="4"/>
      <c r="D51" s="16"/>
      <c r="E51" s="4"/>
      <c r="F51" s="16"/>
      <c r="G51" s="4"/>
      <c r="H51" s="34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Z51" s="4"/>
      <c r="AA51" s="16"/>
      <c r="AB51" s="4"/>
      <c r="AC51" s="16"/>
      <c r="AW51" s="4"/>
      <c r="AX51" s="16"/>
      <c r="AY51" s="4"/>
      <c r="BB51" s="16"/>
      <c r="BH51" s="16"/>
      <c r="BJ51" s="4"/>
      <c r="BO51" s="16"/>
      <c r="BP51" s="4"/>
      <c r="BQ51" s="4"/>
      <c r="BR51" s="16"/>
      <c r="BS51" s="4"/>
      <c r="BV51" s="16"/>
      <c r="CB51" s="16"/>
      <c r="CC51" s="16"/>
      <c r="CD51" s="4"/>
      <c r="CE51" s="16"/>
      <c r="CF51" s="4"/>
      <c r="CG51" s="16"/>
      <c r="CH51" s="4"/>
      <c r="CI51" s="34"/>
      <c r="CM51" s="16"/>
    </row>
    <row r="52" spans="1:96" x14ac:dyDescent="0.4">
      <c r="A52" s="53"/>
      <c r="B52" s="55"/>
      <c r="C52" s="4"/>
      <c r="D52" s="54"/>
      <c r="E52" s="4"/>
      <c r="F52" s="54"/>
      <c r="G52" s="4"/>
      <c r="H52" s="4"/>
      <c r="I52" s="4"/>
      <c r="J52" s="16"/>
      <c r="K52" s="4"/>
      <c r="L52" s="4"/>
      <c r="O52" s="4"/>
      <c r="P52" s="4"/>
      <c r="S52" s="4"/>
      <c r="T52" s="4"/>
      <c r="AC52" s="54"/>
      <c r="AR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J52" s="53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55"/>
      <c r="CD52" s="4"/>
      <c r="CE52" s="54"/>
      <c r="CF52" s="4"/>
      <c r="CG52" s="54"/>
      <c r="CH52" s="4"/>
      <c r="CI52" s="54"/>
      <c r="CM52" s="16"/>
    </row>
    <row r="53" spans="1:96" ht="15.4" x14ac:dyDescent="0.45">
      <c r="A53" s="7"/>
      <c r="B53" s="8"/>
      <c r="C53" s="7"/>
      <c r="D53" s="9"/>
      <c r="E53" s="9"/>
      <c r="F53" s="10"/>
      <c r="G53" s="5"/>
      <c r="H53" s="10"/>
      <c r="I53" s="10"/>
      <c r="J53" s="10"/>
      <c r="K53" s="5"/>
      <c r="L53" s="10"/>
      <c r="M53" s="10"/>
      <c r="N53" s="10"/>
      <c r="O53" s="5"/>
      <c r="P53" s="10"/>
      <c r="Q53" s="10"/>
      <c r="R53" s="10"/>
      <c r="S53" s="5"/>
      <c r="T53" s="10"/>
      <c r="U53" s="10"/>
      <c r="V53" s="10"/>
      <c r="W53" s="52"/>
      <c r="X53" s="52"/>
      <c r="Z53" s="7"/>
      <c r="AA53" s="8"/>
      <c r="AB53" s="7"/>
      <c r="AC53" s="9"/>
      <c r="AE53" s="6"/>
      <c r="AF53" s="6"/>
      <c r="AG53" s="6"/>
      <c r="AH53" s="6"/>
      <c r="AI53" s="6"/>
      <c r="AJ53" s="6"/>
      <c r="AO53" s="6"/>
      <c r="AR53" s="5"/>
      <c r="AT53" s="6"/>
      <c r="AW53" s="5"/>
      <c r="AX53" s="5"/>
      <c r="AY53" s="52"/>
      <c r="AZ53" s="5"/>
      <c r="BA53" s="5"/>
      <c r="BB53" s="52"/>
      <c r="BC53" s="5"/>
      <c r="BD53" s="5"/>
      <c r="BE53" s="52"/>
      <c r="BF53" s="5"/>
      <c r="BG53" s="5"/>
      <c r="BH53" s="52"/>
      <c r="BJ53" s="7"/>
      <c r="BK53" s="7"/>
      <c r="BL53" s="8"/>
      <c r="BM53" s="7"/>
      <c r="BN53" s="5"/>
      <c r="BO53" s="5"/>
      <c r="BP53" s="52"/>
      <c r="BQ53" s="5"/>
      <c r="BR53" s="5"/>
      <c r="BS53" s="52"/>
      <c r="BT53" s="5"/>
      <c r="BU53" s="5"/>
      <c r="BV53" s="52"/>
      <c r="BW53" s="5"/>
      <c r="BX53" s="5"/>
      <c r="BY53" s="52"/>
      <c r="BZ53" s="5"/>
      <c r="CA53" s="5"/>
      <c r="CB53" s="52"/>
      <c r="CC53" s="8"/>
      <c r="CD53" s="7"/>
      <c r="CE53" s="9"/>
      <c r="CF53" s="9"/>
      <c r="CG53" s="10"/>
      <c r="CH53" s="5"/>
      <c r="CI53" s="10"/>
      <c r="CM53" s="6"/>
      <c r="CQ53" s="52"/>
      <c r="CR53" s="52"/>
    </row>
    <row r="54" spans="1:96" x14ac:dyDescent="0.4">
      <c r="B54" s="3"/>
      <c r="C54" s="3"/>
      <c r="D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AJ54" s="119"/>
      <c r="AK54" s="119"/>
      <c r="AL54" s="119"/>
      <c r="AM54" s="119"/>
      <c r="AN54" s="119"/>
    </row>
    <row r="55" spans="1:96" x14ac:dyDescent="0.4">
      <c r="B55" s="3"/>
      <c r="C55" s="3"/>
      <c r="D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AJ55" s="119"/>
      <c r="AK55" s="119"/>
      <c r="AL55" s="119"/>
      <c r="AM55" s="119"/>
      <c r="AN55" s="119"/>
    </row>
    <row r="56" spans="1:96" x14ac:dyDescent="0.4">
      <c r="B56" s="3"/>
      <c r="C56" s="3"/>
      <c r="D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AJ56" s="119"/>
      <c r="AK56" s="119"/>
      <c r="AL56" s="119"/>
      <c r="AM56" s="119"/>
      <c r="AN56" s="119"/>
    </row>
    <row r="57" spans="1:96" x14ac:dyDescent="0.4">
      <c r="B57" s="3"/>
      <c r="C57" s="3"/>
      <c r="D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AJ57" s="119"/>
      <c r="AK57" s="119"/>
      <c r="AL57" s="119"/>
      <c r="AM57" s="119"/>
      <c r="AN57" s="119"/>
    </row>
    <row r="58" spans="1:96" x14ac:dyDescent="0.4">
      <c r="B58" s="3"/>
      <c r="C58" s="3"/>
      <c r="D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AJ58" s="119"/>
      <c r="AK58" s="119"/>
      <c r="AL58" s="119"/>
      <c r="AM58" s="119"/>
      <c r="AN58" s="119"/>
    </row>
    <row r="59" spans="1:96" x14ac:dyDescent="0.4">
      <c r="B59" s="3"/>
      <c r="C59" s="3"/>
      <c r="D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AJ59" s="119"/>
      <c r="AK59" s="119"/>
      <c r="AL59" s="119"/>
      <c r="AM59" s="119"/>
      <c r="AN59" s="119"/>
    </row>
    <row r="60" spans="1:96" x14ac:dyDescent="0.4">
      <c r="B60" s="3"/>
      <c r="C60" s="3"/>
      <c r="D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AJ60" s="119"/>
      <c r="AK60" s="119"/>
      <c r="AL60" s="119"/>
      <c r="AM60" s="119"/>
      <c r="AN60" s="119"/>
    </row>
    <row r="61" spans="1:96" x14ac:dyDescent="0.4">
      <c r="B61" s="3"/>
      <c r="C61" s="3"/>
      <c r="D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AJ61" s="119"/>
      <c r="AK61" s="119"/>
      <c r="AL61" s="119"/>
      <c r="AM61" s="119"/>
      <c r="AN61" s="119"/>
    </row>
    <row r="62" spans="1:96" x14ac:dyDescent="0.4">
      <c r="B62" s="3"/>
      <c r="C62" s="3"/>
      <c r="D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AJ62" s="119"/>
      <c r="AK62" s="119"/>
      <c r="AL62" s="119"/>
      <c r="AM62" s="119"/>
      <c r="AN62" s="119"/>
    </row>
    <row r="63" spans="1:96" x14ac:dyDescent="0.4">
      <c r="B63" s="3"/>
      <c r="C63" s="3"/>
      <c r="D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AJ63" s="119"/>
      <c r="AK63" s="119"/>
      <c r="AL63" s="119"/>
      <c r="AM63" s="119"/>
      <c r="AN63" s="119"/>
    </row>
    <row r="64" spans="1:96" x14ac:dyDescent="0.4">
      <c r="B64" s="3"/>
      <c r="C64" s="3"/>
      <c r="D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AJ64" s="119"/>
      <c r="AK64" s="119"/>
      <c r="AL64" s="119"/>
      <c r="AM64" s="119"/>
      <c r="AN64" s="119"/>
    </row>
    <row r="65" spans="2:40" x14ac:dyDescent="0.4">
      <c r="B65" s="3"/>
      <c r="C65" s="3"/>
      <c r="D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AJ65" s="119"/>
      <c r="AK65" s="119"/>
      <c r="AL65" s="119"/>
      <c r="AM65" s="119"/>
      <c r="AN65" s="119"/>
    </row>
    <row r="66" spans="2:40" x14ac:dyDescent="0.4">
      <c r="B66" s="3"/>
      <c r="C66" s="3"/>
      <c r="D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AJ66" s="119"/>
      <c r="AK66" s="119"/>
      <c r="AL66" s="119"/>
      <c r="AM66" s="119"/>
      <c r="AN66" s="119"/>
    </row>
    <row r="67" spans="2:40" x14ac:dyDescent="0.4">
      <c r="B67" s="3"/>
      <c r="C67" s="3"/>
      <c r="D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AJ67" s="119"/>
      <c r="AK67" s="119"/>
      <c r="AL67" s="119"/>
      <c r="AM67" s="119"/>
      <c r="AN67" s="119"/>
    </row>
    <row r="68" spans="2:40" x14ac:dyDescent="0.4">
      <c r="B68" s="3"/>
      <c r="C68" s="3"/>
      <c r="D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AJ68" s="119"/>
      <c r="AK68" s="119"/>
      <c r="AL68" s="119"/>
      <c r="AM68" s="119"/>
      <c r="AN68" s="119"/>
    </row>
    <row r="69" spans="2:40" x14ac:dyDescent="0.4">
      <c r="B69" s="3"/>
      <c r="C69" s="3"/>
      <c r="D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AJ69" s="119"/>
      <c r="AK69" s="119"/>
      <c r="AL69" s="119"/>
      <c r="AM69" s="119"/>
      <c r="AN69" s="119"/>
    </row>
    <row r="70" spans="2:40" x14ac:dyDescent="0.4">
      <c r="B70" s="3"/>
      <c r="C70" s="3"/>
      <c r="D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AJ70" s="119"/>
      <c r="AK70" s="119"/>
      <c r="AL70" s="119"/>
      <c r="AM70" s="119"/>
      <c r="AN70" s="119"/>
    </row>
    <row r="71" spans="2:40" x14ac:dyDescent="0.4">
      <c r="B71" s="3"/>
      <c r="C71" s="3"/>
      <c r="D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AJ71" s="119"/>
      <c r="AK71" s="119"/>
      <c r="AL71" s="119"/>
      <c r="AM71" s="119"/>
      <c r="AN71" s="119"/>
    </row>
    <row r="72" spans="2:40" x14ac:dyDescent="0.4">
      <c r="B72" s="3"/>
      <c r="C72" s="3"/>
      <c r="D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AJ72" s="119"/>
      <c r="AK72" s="119"/>
      <c r="AL72" s="119"/>
      <c r="AM72" s="119"/>
      <c r="AN72" s="119"/>
    </row>
    <row r="73" spans="2:40" x14ac:dyDescent="0.4">
      <c r="B73" s="3"/>
      <c r="C73" s="3"/>
      <c r="D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AJ73" s="119"/>
      <c r="AK73" s="119"/>
      <c r="AL73" s="119"/>
      <c r="AM73" s="119"/>
      <c r="AN73" s="119"/>
    </row>
    <row r="74" spans="2:40" x14ac:dyDescent="0.4">
      <c r="B74" s="3"/>
      <c r="C74" s="3"/>
      <c r="D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AJ74" s="119"/>
      <c r="AK74" s="119"/>
      <c r="AL74" s="119"/>
      <c r="AM74" s="119"/>
      <c r="AN74" s="119"/>
    </row>
    <row r="75" spans="2:40" x14ac:dyDescent="0.4">
      <c r="B75" s="3"/>
      <c r="C75" s="3"/>
      <c r="D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AJ75" s="119"/>
      <c r="AK75" s="119"/>
      <c r="AL75" s="119"/>
      <c r="AM75" s="119"/>
      <c r="AN75" s="119"/>
    </row>
    <row r="76" spans="2:40" x14ac:dyDescent="0.4">
      <c r="B76" s="3"/>
      <c r="C76" s="3"/>
      <c r="D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AJ76" s="119"/>
      <c r="AK76" s="119"/>
      <c r="AL76" s="119"/>
      <c r="AM76" s="119"/>
      <c r="AN76" s="119"/>
    </row>
    <row r="77" spans="2:40" x14ac:dyDescent="0.4">
      <c r="B77" s="3"/>
      <c r="C77" s="3"/>
      <c r="D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AJ77" s="119"/>
      <c r="AK77" s="119"/>
      <c r="AL77" s="119"/>
      <c r="AM77" s="119"/>
      <c r="AN77" s="119"/>
    </row>
    <row r="78" spans="2:40" x14ac:dyDescent="0.4">
      <c r="B78" s="3"/>
      <c r="C78" s="3"/>
      <c r="D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AJ78" s="119"/>
      <c r="AK78" s="119"/>
      <c r="AL78" s="119"/>
      <c r="AM78" s="119"/>
      <c r="AN78" s="119"/>
    </row>
    <row r="79" spans="2:40" x14ac:dyDescent="0.4">
      <c r="B79" s="3"/>
      <c r="C79" s="3"/>
      <c r="D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AJ79" s="119"/>
      <c r="AK79" s="119"/>
      <c r="AL79" s="119"/>
      <c r="AM79" s="119"/>
      <c r="AN79" s="119"/>
    </row>
    <row r="80" spans="2:40" x14ac:dyDescent="0.4">
      <c r="B80" s="3"/>
      <c r="C80" s="3"/>
      <c r="D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AJ80" s="119"/>
      <c r="AK80" s="119"/>
      <c r="AL80" s="119"/>
      <c r="AM80" s="119"/>
      <c r="AN80" s="119"/>
    </row>
    <row r="81" spans="2:40" x14ac:dyDescent="0.4">
      <c r="B81" s="3"/>
      <c r="C81" s="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AJ81" s="119"/>
      <c r="AK81" s="119"/>
      <c r="AL81" s="119"/>
      <c r="AM81" s="119"/>
      <c r="AN81" s="119"/>
    </row>
    <row r="82" spans="2:40" x14ac:dyDescent="0.4">
      <c r="B82" s="3"/>
      <c r="C82" s="3"/>
      <c r="D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AJ82" s="119"/>
      <c r="AK82" s="119"/>
      <c r="AL82" s="119"/>
      <c r="AM82" s="119"/>
      <c r="AN82" s="119"/>
    </row>
    <row r="83" spans="2:40" x14ac:dyDescent="0.4">
      <c r="B83" s="3"/>
      <c r="C83" s="3"/>
      <c r="D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AJ83" s="119"/>
      <c r="AK83" s="119"/>
      <c r="AL83" s="119"/>
      <c r="AM83" s="119"/>
      <c r="AN83" s="119"/>
    </row>
    <row r="84" spans="2:40" x14ac:dyDescent="0.4">
      <c r="B84" s="3"/>
      <c r="C84" s="3"/>
      <c r="D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AJ84" s="119"/>
      <c r="AK84" s="119"/>
      <c r="AL84" s="119"/>
      <c r="AM84" s="119"/>
      <c r="AN84" s="119"/>
    </row>
    <row r="85" spans="2:40" x14ac:dyDescent="0.4">
      <c r="B85" s="3"/>
      <c r="C85" s="3"/>
      <c r="D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AJ85" s="119"/>
      <c r="AK85" s="119"/>
      <c r="AL85" s="119"/>
      <c r="AM85" s="119"/>
      <c r="AN85" s="119"/>
    </row>
    <row r="86" spans="2:40" x14ac:dyDescent="0.4">
      <c r="B86" s="3"/>
      <c r="C86" s="3"/>
      <c r="D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AJ86" s="119"/>
      <c r="AK86" s="119"/>
      <c r="AL86" s="119"/>
      <c r="AM86" s="119"/>
      <c r="AN86" s="119"/>
    </row>
    <row r="87" spans="2:40" x14ac:dyDescent="0.4">
      <c r="B87" s="3"/>
      <c r="C87" s="3"/>
      <c r="D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AJ87" s="119"/>
      <c r="AK87" s="119"/>
      <c r="AL87" s="119"/>
      <c r="AM87" s="119"/>
      <c r="AN87" s="119"/>
    </row>
    <row r="88" spans="2:40" x14ac:dyDescent="0.4">
      <c r="B88" s="3"/>
      <c r="C88" s="3"/>
      <c r="D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AJ88" s="119"/>
      <c r="AK88" s="119"/>
      <c r="AL88" s="119"/>
      <c r="AM88" s="119"/>
      <c r="AN88" s="119"/>
    </row>
    <row r="89" spans="2:40" x14ac:dyDescent="0.4">
      <c r="B89" s="3"/>
      <c r="C89" s="3"/>
      <c r="D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AJ89" s="119"/>
      <c r="AK89" s="119"/>
      <c r="AL89" s="119"/>
      <c r="AM89" s="119"/>
      <c r="AN89" s="119"/>
    </row>
    <row r="90" spans="2:40" x14ac:dyDescent="0.4">
      <c r="B90" s="3"/>
      <c r="C90" s="3"/>
      <c r="D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AJ90" s="119"/>
      <c r="AK90" s="119"/>
      <c r="AL90" s="119"/>
      <c r="AM90" s="119"/>
      <c r="AN90" s="119"/>
    </row>
    <row r="91" spans="2:40" x14ac:dyDescent="0.4">
      <c r="B91" s="3"/>
      <c r="C91" s="3"/>
      <c r="D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</row>
    <row r="92" spans="2:40" x14ac:dyDescent="0.4">
      <c r="B92" s="3"/>
      <c r="C92" s="3"/>
      <c r="D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</row>
    <row r="93" spans="2:40" x14ac:dyDescent="0.4">
      <c r="B93" s="3"/>
      <c r="C93" s="3"/>
      <c r="D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</row>
    <row r="94" spans="2:40" x14ac:dyDescent="0.4">
      <c r="B94" s="3"/>
      <c r="C94" s="3"/>
      <c r="D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</row>
    <row r="101" spans="1:96" x14ac:dyDescent="0.4">
      <c r="A101" s="4"/>
      <c r="B101" s="16"/>
      <c r="C101" s="4"/>
      <c r="D101" s="16"/>
      <c r="E101" s="4"/>
      <c r="F101" s="16"/>
      <c r="G101" s="4"/>
      <c r="H101" s="34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Z101" s="4"/>
      <c r="AA101" s="16"/>
      <c r="AB101" s="4"/>
      <c r="AC101" s="16"/>
      <c r="AW101" s="4"/>
      <c r="AX101" s="16"/>
      <c r="AY101" s="4"/>
      <c r="BB101" s="16"/>
      <c r="BH101" s="16"/>
      <c r="BJ101" s="4"/>
      <c r="BO101" s="16"/>
      <c r="BP101" s="4"/>
      <c r="BQ101" s="4"/>
      <c r="BR101" s="16"/>
      <c r="BS101" s="4"/>
      <c r="BV101" s="16"/>
      <c r="CB101" s="16"/>
      <c r="CC101" s="16"/>
      <c r="CD101" s="4"/>
      <c r="CE101" s="16"/>
      <c r="CF101" s="4"/>
      <c r="CG101" s="16"/>
      <c r="CH101" s="4"/>
      <c r="CI101" s="34"/>
      <c r="CM101" s="16"/>
    </row>
    <row r="102" spans="1:96" x14ac:dyDescent="0.4">
      <c r="A102" s="53"/>
      <c r="B102" s="55"/>
      <c r="C102" s="4"/>
      <c r="D102" s="54"/>
      <c r="E102" s="4"/>
      <c r="F102" s="54"/>
      <c r="G102" s="4"/>
      <c r="H102" s="4"/>
      <c r="I102" s="4"/>
      <c r="J102" s="16"/>
      <c r="K102" s="4"/>
      <c r="L102" s="4"/>
      <c r="O102" s="4"/>
      <c r="P102" s="4"/>
      <c r="S102" s="4"/>
      <c r="T102" s="4"/>
      <c r="AC102" s="54"/>
      <c r="AR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J102" s="53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55"/>
      <c r="CD102" s="4"/>
      <c r="CE102" s="54"/>
      <c r="CF102" s="4"/>
      <c r="CG102" s="54"/>
      <c r="CH102" s="4"/>
      <c r="CI102" s="54"/>
      <c r="CM102" s="16"/>
    </row>
    <row r="103" spans="1:96" ht="15.4" x14ac:dyDescent="0.45">
      <c r="A103" s="7"/>
      <c r="B103" s="8"/>
      <c r="C103" s="7"/>
      <c r="D103" s="9"/>
      <c r="E103" s="9"/>
      <c r="F103" s="10"/>
      <c r="G103" s="5"/>
      <c r="H103" s="10"/>
      <c r="I103" s="10"/>
      <c r="J103" s="10"/>
      <c r="K103" s="5"/>
      <c r="L103" s="10"/>
      <c r="M103" s="10"/>
      <c r="N103" s="10"/>
      <c r="O103" s="5"/>
      <c r="P103" s="10"/>
      <c r="Q103" s="10"/>
      <c r="R103" s="10"/>
      <c r="S103" s="5"/>
      <c r="T103" s="10"/>
      <c r="U103" s="10"/>
      <c r="V103" s="10"/>
      <c r="W103" s="52"/>
      <c r="X103" s="52"/>
      <c r="Z103" s="7"/>
      <c r="AA103" s="8"/>
      <c r="AB103" s="7"/>
      <c r="AC103" s="9"/>
      <c r="AE103" s="6"/>
      <c r="AF103" s="6"/>
      <c r="AG103" s="6"/>
      <c r="AH103" s="6"/>
      <c r="AI103" s="6"/>
      <c r="AJ103" s="6"/>
      <c r="AO103" s="6"/>
      <c r="AR103" s="5"/>
      <c r="AT103" s="6"/>
      <c r="AW103" s="5"/>
      <c r="AX103" s="5"/>
      <c r="AY103" s="52"/>
      <c r="AZ103" s="5"/>
      <c r="BA103" s="5"/>
      <c r="BB103" s="52"/>
      <c r="BC103" s="5"/>
      <c r="BD103" s="5"/>
      <c r="BE103" s="52"/>
      <c r="BF103" s="5"/>
      <c r="BG103" s="5"/>
      <c r="BH103" s="52"/>
      <c r="BJ103" s="7"/>
      <c r="BK103" s="7"/>
      <c r="BL103" s="8"/>
      <c r="BM103" s="7"/>
      <c r="BN103" s="5"/>
      <c r="BO103" s="5"/>
      <c r="BP103" s="52"/>
      <c r="BQ103" s="5"/>
      <c r="BR103" s="5"/>
      <c r="BS103" s="52"/>
      <c r="BT103" s="5"/>
      <c r="BU103" s="5"/>
      <c r="BV103" s="52"/>
      <c r="BW103" s="5"/>
      <c r="BX103" s="5"/>
      <c r="BY103" s="52"/>
      <c r="BZ103" s="5"/>
      <c r="CA103" s="5"/>
      <c r="CB103" s="52"/>
      <c r="CC103" s="8"/>
      <c r="CD103" s="7"/>
      <c r="CE103" s="9"/>
      <c r="CF103" s="9"/>
      <c r="CG103" s="10"/>
      <c r="CH103" s="5"/>
      <c r="CI103" s="10"/>
      <c r="CM103" s="6"/>
      <c r="CQ103" s="52"/>
      <c r="CR103" s="52"/>
    </row>
    <row r="104" spans="1:96" x14ac:dyDescent="0.4">
      <c r="B104" s="3"/>
      <c r="C104" s="3"/>
      <c r="D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96" x14ac:dyDescent="0.4">
      <c r="B105" s="3"/>
      <c r="C105" s="3"/>
      <c r="D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96" x14ac:dyDescent="0.4">
      <c r="B106" s="3"/>
      <c r="C106" s="3"/>
      <c r="D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96" x14ac:dyDescent="0.4">
      <c r="B107" s="3"/>
      <c r="C107" s="3"/>
      <c r="D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96" x14ac:dyDescent="0.4">
      <c r="B108" s="3"/>
      <c r="C108" s="3"/>
      <c r="D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96" x14ac:dyDescent="0.4">
      <c r="B109" s="3"/>
      <c r="C109" s="3"/>
      <c r="D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96" x14ac:dyDescent="0.4">
      <c r="B110" s="3"/>
      <c r="C110" s="3"/>
      <c r="D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96" x14ac:dyDescent="0.4">
      <c r="B111" s="3"/>
      <c r="C111" s="3"/>
      <c r="D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96" x14ac:dyDescent="0.4">
      <c r="B112" s="3"/>
      <c r="C112" s="3"/>
      <c r="D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2:22" x14ac:dyDescent="0.4">
      <c r="B113" s="3"/>
      <c r="C113" s="3"/>
      <c r="D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2:22" x14ac:dyDescent="0.4">
      <c r="B114" s="3"/>
      <c r="C114" s="3"/>
      <c r="D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2:22" x14ac:dyDescent="0.4">
      <c r="B115" s="3"/>
      <c r="C115" s="3"/>
      <c r="D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2:22" x14ac:dyDescent="0.4">
      <c r="B116" s="3"/>
      <c r="C116" s="3"/>
      <c r="D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2:22" x14ac:dyDescent="0.4">
      <c r="B117" s="3"/>
      <c r="C117" s="3"/>
      <c r="D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2:22" x14ac:dyDescent="0.4">
      <c r="B118" s="3"/>
      <c r="C118" s="3"/>
      <c r="D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2:22" x14ac:dyDescent="0.4">
      <c r="B119" s="3"/>
      <c r="C119" s="3"/>
      <c r="D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2:22" x14ac:dyDescent="0.4">
      <c r="B120" s="3"/>
      <c r="C120" s="3"/>
      <c r="D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2:22" x14ac:dyDescent="0.4">
      <c r="B121" s="3"/>
      <c r="C121" s="3"/>
      <c r="D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2:22" x14ac:dyDescent="0.4">
      <c r="B122" s="3"/>
      <c r="C122" s="3"/>
      <c r="D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2:22" x14ac:dyDescent="0.4">
      <c r="B123" s="3"/>
      <c r="C123" s="3"/>
      <c r="D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2:22" x14ac:dyDescent="0.4">
      <c r="B124" s="3"/>
      <c r="C124" s="3"/>
      <c r="D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2:22" x14ac:dyDescent="0.4">
      <c r="B125" s="3"/>
      <c r="C125" s="3"/>
      <c r="D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2:22" x14ac:dyDescent="0.4">
      <c r="B126" s="3"/>
      <c r="C126" s="3"/>
      <c r="D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2:22" x14ac:dyDescent="0.4">
      <c r="B127" s="3"/>
      <c r="C127" s="3"/>
      <c r="D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2:22" x14ac:dyDescent="0.4">
      <c r="B128" s="3"/>
      <c r="C128" s="3"/>
      <c r="D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2:22" x14ac:dyDescent="0.4">
      <c r="B129" s="3"/>
      <c r="C129" s="3"/>
      <c r="D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2:22" x14ac:dyDescent="0.4">
      <c r="B130" s="3"/>
      <c r="C130" s="3"/>
      <c r="D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2:22" x14ac:dyDescent="0.4">
      <c r="B131" s="3"/>
      <c r="C131" s="3"/>
      <c r="D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2:22" x14ac:dyDescent="0.4">
      <c r="B132" s="3"/>
      <c r="C132" s="3"/>
      <c r="D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2:22" x14ac:dyDescent="0.4">
      <c r="B133" s="3"/>
      <c r="C133" s="3"/>
      <c r="D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2:22" x14ac:dyDescent="0.4">
      <c r="B134" s="3"/>
      <c r="C134" s="3"/>
      <c r="D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2:22" x14ac:dyDescent="0.4">
      <c r="B135" s="3"/>
      <c r="C135" s="3"/>
      <c r="D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2:22" x14ac:dyDescent="0.4">
      <c r="B136" s="3"/>
      <c r="C136" s="3"/>
      <c r="D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2:22" x14ac:dyDescent="0.4">
      <c r="B137" s="3"/>
      <c r="C137" s="3"/>
      <c r="D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2:22" x14ac:dyDescent="0.4">
      <c r="B138" s="3"/>
      <c r="C138" s="3"/>
      <c r="D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2:22" x14ac:dyDescent="0.4">
      <c r="B139" s="3"/>
      <c r="C139" s="3"/>
      <c r="D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2:22" x14ac:dyDescent="0.4">
      <c r="B140" s="3"/>
      <c r="C140" s="3"/>
      <c r="D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2:22" x14ac:dyDescent="0.4">
      <c r="B141" s="3"/>
      <c r="C141" s="3"/>
      <c r="D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2:22" x14ac:dyDescent="0.4">
      <c r="B142" s="3"/>
      <c r="C142" s="3"/>
      <c r="D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2:22" x14ac:dyDescent="0.4">
      <c r="B143" s="3"/>
      <c r="C143" s="3"/>
      <c r="D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2:22" x14ac:dyDescent="0.4">
      <c r="B144" s="3"/>
      <c r="C144" s="3"/>
      <c r="D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</row>
    <row r="151" spans="1:96" x14ac:dyDescent="0.4">
      <c r="A151" s="4"/>
      <c r="B151" s="16"/>
      <c r="C151" s="4"/>
      <c r="D151" s="16"/>
      <c r="E151" s="4"/>
      <c r="F151" s="16"/>
      <c r="G151" s="4"/>
      <c r="H151" s="34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Z151" s="4"/>
      <c r="AA151" s="16"/>
      <c r="AB151" s="4"/>
      <c r="AC151" s="16"/>
      <c r="AW151" s="4"/>
      <c r="AX151" s="16"/>
      <c r="AY151" s="4"/>
      <c r="BB151" s="16"/>
      <c r="BH151" s="16"/>
      <c r="BJ151" s="4"/>
      <c r="BO151" s="16"/>
      <c r="BP151" s="4"/>
      <c r="BQ151" s="4"/>
      <c r="BR151" s="16"/>
      <c r="BS151" s="4"/>
      <c r="BV151" s="16"/>
      <c r="CB151" s="16"/>
      <c r="CC151" s="16"/>
      <c r="CD151" s="4"/>
      <c r="CE151" s="16"/>
      <c r="CF151" s="4"/>
      <c r="CG151" s="16"/>
      <c r="CH151" s="4"/>
      <c r="CI151" s="34"/>
      <c r="CM151" s="16"/>
    </row>
    <row r="152" spans="1:96" x14ac:dyDescent="0.4">
      <c r="A152" s="53"/>
      <c r="B152" s="55"/>
      <c r="C152" s="4"/>
      <c r="D152" s="54"/>
      <c r="E152" s="4"/>
      <c r="F152" s="54"/>
      <c r="G152" s="4"/>
      <c r="H152" s="4"/>
      <c r="I152" s="4"/>
      <c r="J152" s="16"/>
      <c r="K152" s="4"/>
      <c r="L152" s="4"/>
      <c r="O152" s="4"/>
      <c r="P152" s="4"/>
      <c r="S152" s="4"/>
      <c r="T152" s="4"/>
      <c r="AC152" s="54"/>
      <c r="AR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J152" s="53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55"/>
      <c r="CD152" s="4"/>
      <c r="CE152" s="54"/>
      <c r="CF152" s="4"/>
      <c r="CG152" s="54"/>
      <c r="CH152" s="4"/>
      <c r="CI152" s="54"/>
      <c r="CM152" s="16"/>
    </row>
    <row r="153" spans="1:96" ht="15.4" x14ac:dyDescent="0.45">
      <c r="A153" s="7"/>
      <c r="B153" s="8"/>
      <c r="C153" s="7"/>
      <c r="D153" s="9"/>
      <c r="E153" s="9"/>
      <c r="F153" s="10"/>
      <c r="G153" s="5"/>
      <c r="H153" s="10"/>
      <c r="I153" s="10"/>
      <c r="J153" s="10"/>
      <c r="K153" s="5"/>
      <c r="L153" s="10"/>
      <c r="M153" s="10"/>
      <c r="N153" s="10"/>
      <c r="O153" s="5"/>
      <c r="P153" s="10"/>
      <c r="Q153" s="10"/>
      <c r="R153" s="10"/>
      <c r="S153" s="5"/>
      <c r="T153" s="10"/>
      <c r="U153" s="10"/>
      <c r="V153" s="10"/>
      <c r="W153" s="52"/>
      <c r="X153" s="52"/>
      <c r="Z153" s="7"/>
      <c r="AA153" s="8"/>
      <c r="AB153" s="7"/>
      <c r="AC153" s="9"/>
      <c r="AE153" s="6"/>
      <c r="AF153" s="6"/>
      <c r="AG153" s="6"/>
      <c r="AH153" s="6"/>
      <c r="AI153" s="6"/>
      <c r="AJ153" s="6"/>
      <c r="AO153" s="6"/>
      <c r="AR153" s="5"/>
      <c r="AT153" s="6"/>
      <c r="AW153" s="5"/>
      <c r="AX153" s="5"/>
      <c r="AY153" s="52"/>
      <c r="AZ153" s="5"/>
      <c r="BA153" s="5"/>
      <c r="BB153" s="52"/>
      <c r="BC153" s="5"/>
      <c r="BD153" s="5"/>
      <c r="BE153" s="52"/>
      <c r="BF153" s="5"/>
      <c r="BG153" s="5"/>
      <c r="BH153" s="52"/>
      <c r="BJ153" s="7"/>
      <c r="BK153" s="7"/>
      <c r="BL153" s="8"/>
      <c r="BM153" s="7"/>
      <c r="BN153" s="5"/>
      <c r="BO153" s="5"/>
      <c r="BP153" s="52"/>
      <c r="BQ153" s="5"/>
      <c r="BR153" s="5"/>
      <c r="BS153" s="52"/>
      <c r="BT153" s="5"/>
      <c r="BU153" s="5"/>
      <c r="BV153" s="52"/>
      <c r="BW153" s="5"/>
      <c r="BX153" s="5"/>
      <c r="BY153" s="52"/>
      <c r="BZ153" s="5"/>
      <c r="CA153" s="5"/>
      <c r="CB153" s="52"/>
      <c r="CC153" s="8"/>
      <c r="CD153" s="7"/>
      <c r="CE153" s="9"/>
      <c r="CF153" s="9"/>
      <c r="CG153" s="10"/>
      <c r="CH153" s="5"/>
      <c r="CI153" s="10"/>
      <c r="CM153" s="6"/>
      <c r="CQ153" s="52"/>
      <c r="CR153" s="52"/>
    </row>
    <row r="154" spans="1:96" x14ac:dyDescent="0.4">
      <c r="B154" s="3"/>
      <c r="C154" s="3"/>
      <c r="D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96" x14ac:dyDescent="0.4">
      <c r="B155" s="3"/>
      <c r="C155" s="3"/>
      <c r="D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96" x14ac:dyDescent="0.4">
      <c r="B156" s="3"/>
      <c r="C156" s="3"/>
      <c r="D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96" x14ac:dyDescent="0.4">
      <c r="B157" s="3"/>
      <c r="C157" s="3"/>
      <c r="D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96" x14ac:dyDescent="0.4">
      <c r="B158" s="3"/>
      <c r="C158" s="3"/>
      <c r="D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96" x14ac:dyDescent="0.4">
      <c r="B159" s="3"/>
      <c r="C159" s="3"/>
      <c r="D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96" x14ac:dyDescent="0.4">
      <c r="B160" s="3"/>
      <c r="C160" s="3"/>
      <c r="D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2:22" x14ac:dyDescent="0.4">
      <c r="B161" s="3"/>
      <c r="C161" s="3"/>
      <c r="D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2:22" x14ac:dyDescent="0.4">
      <c r="B162" s="3"/>
      <c r="C162" s="3"/>
      <c r="D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2:22" x14ac:dyDescent="0.4">
      <c r="B163" s="3"/>
      <c r="C163" s="3"/>
      <c r="D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2:22" x14ac:dyDescent="0.4">
      <c r="B164" s="3"/>
      <c r="C164" s="3"/>
      <c r="D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2:22" x14ac:dyDescent="0.4">
      <c r="B165" s="3"/>
      <c r="C165" s="3"/>
      <c r="D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2:22" x14ac:dyDescent="0.4">
      <c r="B166" s="3"/>
      <c r="C166" s="3"/>
      <c r="D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2:22" x14ac:dyDescent="0.4">
      <c r="B167" s="3"/>
      <c r="C167" s="3"/>
      <c r="D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2:22" x14ac:dyDescent="0.4">
      <c r="B168" s="3"/>
      <c r="C168" s="3"/>
      <c r="D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2:22" x14ac:dyDescent="0.4">
      <c r="B169" s="3"/>
      <c r="C169" s="3"/>
      <c r="D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2:22" x14ac:dyDescent="0.4">
      <c r="B170" s="3"/>
      <c r="C170" s="3"/>
      <c r="D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2:22" x14ac:dyDescent="0.4">
      <c r="B171" s="3"/>
      <c r="C171" s="3"/>
      <c r="D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2:22" x14ac:dyDescent="0.4">
      <c r="B172" s="3"/>
      <c r="C172" s="3"/>
      <c r="D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2:22" x14ac:dyDescent="0.4">
      <c r="B173" s="3"/>
      <c r="C173" s="3"/>
      <c r="D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2:22" x14ac:dyDescent="0.4">
      <c r="B174" s="3"/>
      <c r="C174" s="3"/>
      <c r="D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2:22" x14ac:dyDescent="0.4">
      <c r="B175" s="3"/>
      <c r="C175" s="3"/>
      <c r="D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2:22" x14ac:dyDescent="0.4">
      <c r="B176" s="3"/>
      <c r="C176" s="3"/>
      <c r="D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2:22" x14ac:dyDescent="0.4">
      <c r="B177" s="3"/>
      <c r="C177" s="3"/>
      <c r="D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2:22" x14ac:dyDescent="0.4">
      <c r="B178" s="3"/>
      <c r="C178" s="3"/>
      <c r="D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2:22" x14ac:dyDescent="0.4">
      <c r="B179" s="3"/>
      <c r="C179" s="3"/>
      <c r="D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2:22" x14ac:dyDescent="0.4">
      <c r="B180" s="3"/>
      <c r="C180" s="3"/>
      <c r="D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2:22" x14ac:dyDescent="0.4">
      <c r="B181" s="3"/>
      <c r="C181" s="3"/>
      <c r="D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2:22" x14ac:dyDescent="0.4">
      <c r="B182" s="3"/>
      <c r="C182" s="3"/>
      <c r="D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2:22" x14ac:dyDescent="0.4">
      <c r="B183" s="3"/>
      <c r="C183" s="3"/>
      <c r="D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2:22" x14ac:dyDescent="0.4">
      <c r="B184" s="3"/>
      <c r="C184" s="3"/>
      <c r="D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2:22" x14ac:dyDescent="0.4">
      <c r="B185" s="3"/>
      <c r="C185" s="3"/>
      <c r="D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2:22" x14ac:dyDescent="0.4">
      <c r="B186" s="3"/>
      <c r="C186" s="3"/>
      <c r="D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2:22" x14ac:dyDescent="0.4">
      <c r="B187" s="3"/>
      <c r="C187" s="3"/>
      <c r="D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2:22" x14ac:dyDescent="0.4">
      <c r="B188" s="3"/>
      <c r="C188" s="3"/>
      <c r="D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2:22" x14ac:dyDescent="0.4">
      <c r="B189" s="3"/>
      <c r="C189" s="3"/>
      <c r="D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2:22" x14ac:dyDescent="0.4">
      <c r="B190" s="3"/>
      <c r="C190" s="3"/>
      <c r="D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2:22" x14ac:dyDescent="0.4">
      <c r="B191" s="3"/>
      <c r="C191" s="3"/>
      <c r="D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2:22" x14ac:dyDescent="0.4">
      <c r="B192" s="3"/>
      <c r="C192" s="3"/>
      <c r="D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2:22" x14ac:dyDescent="0.4">
      <c r="B193" s="3"/>
      <c r="C193" s="3"/>
      <c r="D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2:22" x14ac:dyDescent="0.4">
      <c r="B194" s="3"/>
      <c r="C194" s="3"/>
      <c r="D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</row>
  </sheetData>
  <mergeCells count="1">
    <mergeCell ref="X2:AB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CX129"/>
  <sheetViews>
    <sheetView zoomScaleNormal="100" workbookViewId="0">
      <selection activeCell="E11" sqref="E11"/>
    </sheetView>
  </sheetViews>
  <sheetFormatPr defaultColWidth="8.86328125" defaultRowHeight="13.9" x14ac:dyDescent="0.4"/>
  <cols>
    <col min="1" max="1" width="12.86328125" customWidth="1"/>
    <col min="2" max="2" width="10.6640625" bestFit="1" customWidth="1"/>
    <col min="5" max="5" width="10.53125" bestFit="1" customWidth="1"/>
    <col min="6" max="6" width="11.265625" customWidth="1"/>
    <col min="7" max="7" width="11.53125" customWidth="1"/>
    <col min="8" max="8" width="10.46484375" customWidth="1"/>
    <col min="10" max="10" width="10.19921875" customWidth="1"/>
  </cols>
  <sheetData>
    <row r="1" spans="1:102" ht="14.25" x14ac:dyDescent="0.4">
      <c r="A1" s="127" t="s">
        <v>44</v>
      </c>
      <c r="B1" s="87" t="s">
        <v>0</v>
      </c>
      <c r="C1" s="87">
        <v>5.0000000000000001E-3</v>
      </c>
      <c r="D1" s="88" t="s">
        <v>22</v>
      </c>
      <c r="E1" s="88">
        <v>1</v>
      </c>
      <c r="F1" s="88"/>
      <c r="G1" s="88"/>
      <c r="H1" s="99" t="s">
        <v>65</v>
      </c>
      <c r="I1" s="88" t="s">
        <v>72</v>
      </c>
      <c r="J1" s="89" t="s">
        <v>11</v>
      </c>
      <c r="K1" s="90">
        <v>1</v>
      </c>
      <c r="M1" s="18"/>
      <c r="N1" s="17"/>
      <c r="O1" s="16"/>
      <c r="P1" s="16"/>
      <c r="T1" s="17"/>
      <c r="U1" s="17"/>
      <c r="V1" s="17"/>
      <c r="W1" s="17"/>
      <c r="X1" s="17"/>
      <c r="Y1" s="18"/>
      <c r="Z1" s="18"/>
      <c r="AA1" s="18"/>
      <c r="AB1" s="18"/>
      <c r="AC1" s="18"/>
      <c r="AD1" s="17"/>
      <c r="AE1" s="18"/>
      <c r="AF1" s="4"/>
      <c r="AG1" s="4"/>
      <c r="AI1" s="18"/>
      <c r="AJ1" s="17"/>
      <c r="AK1" s="18"/>
      <c r="AL1" s="18"/>
      <c r="AM1" s="18"/>
      <c r="AN1" s="18"/>
      <c r="AO1" s="18"/>
      <c r="AP1" s="17"/>
      <c r="AQ1" s="17"/>
      <c r="AR1" s="17"/>
      <c r="AS1" s="17"/>
      <c r="AT1" s="18"/>
      <c r="AU1" s="18"/>
      <c r="AV1" s="18"/>
      <c r="AW1" s="18"/>
      <c r="AX1" s="17"/>
      <c r="AY1" s="18"/>
      <c r="AZ1" s="4"/>
      <c r="BB1" s="18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8"/>
      <c r="BN1" s="18"/>
      <c r="BO1" s="18"/>
      <c r="BP1" s="18"/>
      <c r="BQ1" s="17"/>
      <c r="BR1" s="18"/>
      <c r="BS1" s="4"/>
      <c r="BU1" s="18"/>
      <c r="BV1" s="17"/>
      <c r="BW1" s="18"/>
      <c r="BX1" s="17"/>
      <c r="CD1" s="17"/>
      <c r="CE1" s="17"/>
      <c r="CF1" s="17"/>
      <c r="CG1" s="17"/>
      <c r="CH1" s="17"/>
      <c r="CI1" s="17"/>
      <c r="CJ1" s="17"/>
      <c r="CK1" s="18"/>
      <c r="CL1" s="18"/>
      <c r="CM1" s="18"/>
      <c r="CN1" s="18"/>
      <c r="CO1" s="18"/>
      <c r="CP1" s="18"/>
      <c r="CQ1" s="17"/>
      <c r="CR1" s="18"/>
      <c r="CS1" s="4"/>
      <c r="CU1" s="18"/>
      <c r="CV1" s="17"/>
      <c r="CW1" s="18"/>
      <c r="CX1" s="17"/>
    </row>
    <row r="2" spans="1:102" ht="15" x14ac:dyDescent="0.5">
      <c r="A2" s="132" t="s">
        <v>56</v>
      </c>
      <c r="B2" s="80" t="s">
        <v>1</v>
      </c>
      <c r="C2" s="80" t="s">
        <v>17</v>
      </c>
      <c r="D2" s="80" t="s">
        <v>2</v>
      </c>
      <c r="E2" s="80" t="s">
        <v>58</v>
      </c>
      <c r="F2" s="81" t="s">
        <v>59</v>
      </c>
      <c r="G2" s="81" t="s">
        <v>60</v>
      </c>
      <c r="H2" s="81" t="s">
        <v>3</v>
      </c>
      <c r="I2" s="82"/>
      <c r="J2" s="80"/>
      <c r="K2" s="80"/>
      <c r="L2" s="18"/>
      <c r="M2" s="18"/>
      <c r="N2" s="18"/>
      <c r="O2" s="18"/>
      <c r="T2" s="17"/>
      <c r="U2" s="18"/>
      <c r="V2" s="18"/>
      <c r="W2" s="18"/>
      <c r="X2" s="18"/>
      <c r="Y2" s="4"/>
      <c r="Z2" s="18"/>
      <c r="AA2" s="4"/>
      <c r="AB2" s="4"/>
      <c r="AC2" s="4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7"/>
      <c r="AQ2" s="18"/>
      <c r="AR2" s="18"/>
      <c r="AS2" s="18"/>
      <c r="AT2" s="4"/>
      <c r="AU2" s="18"/>
      <c r="AV2" s="4"/>
      <c r="AW2" s="4"/>
      <c r="AX2" s="18"/>
      <c r="AY2" s="18"/>
      <c r="AZ2" s="18"/>
      <c r="BA2" s="18"/>
      <c r="BB2" s="18"/>
      <c r="BC2" s="18"/>
      <c r="BD2" s="17"/>
      <c r="BE2" s="17"/>
      <c r="BF2" s="17"/>
      <c r="BG2" s="35"/>
      <c r="BH2" s="17"/>
      <c r="BI2" s="17"/>
      <c r="BJ2" s="18"/>
      <c r="BK2" s="18"/>
      <c r="BL2" s="18"/>
      <c r="BM2" s="4"/>
      <c r="BN2" s="18"/>
      <c r="BO2" s="4"/>
      <c r="BP2" s="4"/>
      <c r="BQ2" s="18"/>
      <c r="BR2" s="18"/>
      <c r="BS2" s="18"/>
      <c r="BT2" s="18"/>
      <c r="BU2" s="18"/>
      <c r="BV2" s="18"/>
      <c r="BW2" s="18"/>
      <c r="BX2" s="18"/>
      <c r="CD2" s="17"/>
      <c r="CE2" s="17"/>
      <c r="CF2" s="17"/>
      <c r="CG2" s="35"/>
      <c r="CH2" s="17"/>
      <c r="CI2" s="17"/>
      <c r="CJ2" s="17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7"/>
      <c r="CW2" s="18"/>
      <c r="CX2" s="18"/>
    </row>
    <row r="3" spans="1:102" x14ac:dyDescent="0.4">
      <c r="A3" s="132"/>
      <c r="B3" s="83">
        <f>VLOOKUP(C1,ParamTable_SWC!$B$4:$CI$45,4,FALSE)</f>
        <v>1.7432700000000001</v>
      </c>
      <c r="C3" s="83">
        <f>VLOOKUP(C1,ParamTable_SWC!$B$4:$CI$45,5,FALSE)</f>
        <v>0.2205</v>
      </c>
      <c r="D3" s="83">
        <f>VLOOKUP(C1,ParamTable_SWC!$B$4:$CI$45,6,FALSE)</f>
        <v>0.2</v>
      </c>
      <c r="E3" s="84">
        <f>VLOOKUP(C1,ParamTable_SWC!$B$4:$CI$45,7,FALSE)</f>
        <v>0</v>
      </c>
      <c r="F3" s="84">
        <f>VLOOKUP(C1,ParamTable_SWC!$B$4:$CI$45,8,FALSE)</f>
        <v>0.23680000000000001</v>
      </c>
      <c r="G3" s="84">
        <f>VLOOKUP(C1,ParamTable_SWC!$B$4:$CI$45,9,FALSE)</f>
        <v>-2.5080000000000002E-2</v>
      </c>
      <c r="H3" s="84">
        <f>VLOOKUP(C1,ParamTable_SWC!$B$4:$CI$45,10,FALSE)</f>
        <v>3.3840000000000002E-2</v>
      </c>
      <c r="I3" s="82"/>
      <c r="J3" s="82"/>
      <c r="K3" s="82"/>
      <c r="T3" s="17"/>
      <c r="U3" s="17"/>
      <c r="V3" s="17"/>
      <c r="W3" s="17"/>
      <c r="X3" s="17"/>
      <c r="Y3" s="20"/>
      <c r="Z3" s="20"/>
      <c r="AA3" s="20"/>
      <c r="AB3" s="20"/>
      <c r="AC3" s="20"/>
      <c r="AK3" s="18"/>
      <c r="AL3" s="18"/>
      <c r="AM3" s="4"/>
      <c r="AN3" s="18"/>
      <c r="AO3" s="4"/>
      <c r="AP3" s="17"/>
      <c r="AQ3" s="17"/>
      <c r="AR3" s="17"/>
      <c r="AS3" s="17"/>
      <c r="AT3" s="20"/>
      <c r="AU3" s="20"/>
      <c r="AV3" s="20"/>
      <c r="AW3" s="20"/>
      <c r="BD3" s="17"/>
      <c r="BE3" s="17"/>
      <c r="BF3" s="17"/>
      <c r="BG3" s="17"/>
      <c r="BH3" s="19"/>
      <c r="BI3" s="17"/>
      <c r="BJ3" s="17"/>
      <c r="BK3" s="17"/>
      <c r="BL3" s="17"/>
      <c r="BM3" s="20"/>
      <c r="BN3" s="20"/>
      <c r="BO3" s="20"/>
      <c r="BP3" s="20"/>
      <c r="BW3" s="18"/>
      <c r="BX3" s="18"/>
      <c r="CD3" s="17"/>
      <c r="CE3" s="17"/>
      <c r="CF3" s="17"/>
      <c r="CG3" s="17"/>
      <c r="CH3" s="19"/>
      <c r="CI3" s="18"/>
      <c r="CJ3" s="18"/>
      <c r="CK3" s="18"/>
      <c r="CL3" s="18"/>
      <c r="CM3" s="4"/>
      <c r="CN3" s="18"/>
      <c r="CO3" s="4"/>
      <c r="CP3" s="4"/>
      <c r="CQ3" s="18"/>
      <c r="CR3" s="18"/>
      <c r="CS3" s="18"/>
      <c r="CT3" s="18"/>
      <c r="CU3" s="18"/>
      <c r="CV3" s="18"/>
      <c r="CW3" s="18"/>
      <c r="CX3" s="18"/>
    </row>
    <row r="4" spans="1:102" ht="15.4" x14ac:dyDescent="0.55000000000000004">
      <c r="A4" s="132"/>
      <c r="B4" s="85" t="s">
        <v>67</v>
      </c>
      <c r="C4" s="80" t="s">
        <v>68</v>
      </c>
      <c r="D4" s="80" t="s">
        <v>4</v>
      </c>
      <c r="E4" s="80" t="s">
        <v>5</v>
      </c>
      <c r="F4" s="80" t="s">
        <v>78</v>
      </c>
      <c r="G4" s="80" t="s">
        <v>6</v>
      </c>
      <c r="H4" s="85" t="s">
        <v>49</v>
      </c>
      <c r="I4" s="80"/>
      <c r="J4" s="80"/>
      <c r="K4" s="85"/>
      <c r="L4" s="19"/>
      <c r="U4" s="19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9"/>
      <c r="AG4" s="19"/>
      <c r="AH4" s="19"/>
      <c r="AK4" s="17"/>
      <c r="AL4" s="17"/>
      <c r="AM4" s="20"/>
      <c r="AN4" s="20"/>
      <c r="AO4" s="20"/>
      <c r="AQ4" s="19"/>
      <c r="AR4" s="18"/>
      <c r="AS4" s="18"/>
      <c r="AT4" s="18"/>
      <c r="AU4" s="18"/>
      <c r="AV4" s="18"/>
      <c r="AW4" s="18"/>
      <c r="AX4" s="18"/>
      <c r="AY4" s="18"/>
      <c r="AZ4" s="19"/>
      <c r="BA4" s="19"/>
      <c r="BD4" s="17"/>
      <c r="BE4" s="17"/>
      <c r="BF4" s="17"/>
      <c r="BG4" s="17"/>
      <c r="BH4" s="17"/>
      <c r="BJ4" s="19"/>
      <c r="BK4" s="18"/>
      <c r="BL4" s="18"/>
      <c r="BM4" s="18"/>
      <c r="BN4" s="18"/>
      <c r="BO4" s="18"/>
      <c r="BP4" s="18"/>
      <c r="BQ4" s="18"/>
      <c r="BR4" s="18"/>
      <c r="BS4" s="19"/>
      <c r="BT4" s="19"/>
      <c r="BW4" s="20"/>
      <c r="BX4" s="18"/>
      <c r="CD4" s="17"/>
      <c r="CE4" s="17"/>
      <c r="CF4" s="17"/>
      <c r="CG4" s="17"/>
      <c r="CH4" s="17"/>
      <c r="CI4" s="17"/>
      <c r="CJ4" s="17"/>
      <c r="CK4" s="17"/>
      <c r="CL4" s="17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18"/>
    </row>
    <row r="5" spans="1:102" ht="15.4" x14ac:dyDescent="0.45">
      <c r="A5" s="132"/>
      <c r="B5" s="83">
        <f>VLOOKUP(C1,ParamTable_SWC!$B$4:$CI$45,2,FALSE)</f>
        <v>-3.4779200000000001</v>
      </c>
      <c r="C5" s="83">
        <f>VLOOKUP(C1,ParamTable_SWC!$B$4:$CI$45,3,FALSE)</f>
        <v>0.95</v>
      </c>
      <c r="D5" s="84">
        <f>VLOOKUP(C1,ParamTable_SWC!$B$4:$CI$45,11,FALSE)</f>
        <v>-1.7473099999999999</v>
      </c>
      <c r="E5" s="84">
        <f>VLOOKUP(C1,ParamTable_SWC!$B$4:$CI$45,12,FALSE)</f>
        <v>2.2656399999999999</v>
      </c>
      <c r="F5" s="116">
        <f>VLOOKUP(C1,ParamTable_SWC!$B$4:$CI$45,13,FALSE)</f>
        <v>-0.67405000000000004</v>
      </c>
      <c r="G5" s="84">
        <f>VLOOKUP(C1,ParamTable_SWC!$B$4:$CI$45,14,FALSE)</f>
        <v>-6.7799999999999996E-3</v>
      </c>
      <c r="H5" s="84">
        <f>VLOOKUP(C1,ParamTable_SWC!$B$4:$CI$45,15,FALSE)</f>
        <v>-16.187339999999999</v>
      </c>
      <c r="I5" s="84"/>
      <c r="J5" s="84"/>
      <c r="K5" s="83"/>
      <c r="L5" s="17"/>
      <c r="T5" s="17"/>
      <c r="U5" s="17"/>
      <c r="V5" s="17"/>
      <c r="W5" s="17"/>
      <c r="X5" s="20"/>
      <c r="Y5" s="20"/>
      <c r="Z5" s="20"/>
      <c r="AA5" s="20"/>
      <c r="AB5" s="20"/>
      <c r="AC5" s="20"/>
      <c r="AD5" s="20"/>
      <c r="AE5" s="20"/>
      <c r="AF5" s="17"/>
      <c r="AG5" s="17"/>
      <c r="AH5" s="17"/>
      <c r="AK5" s="18"/>
      <c r="AL5" s="18"/>
      <c r="AM5" s="22"/>
      <c r="AN5" s="17"/>
      <c r="AO5" s="18"/>
      <c r="AP5" s="17"/>
      <c r="AQ5" s="17"/>
      <c r="AR5" s="17"/>
      <c r="AS5" s="20"/>
      <c r="AT5" s="20"/>
      <c r="AU5" s="20"/>
      <c r="AV5" s="20"/>
      <c r="AW5" s="20"/>
      <c r="AX5" s="20"/>
      <c r="AY5" s="20"/>
      <c r="AZ5" s="17"/>
      <c r="BA5" s="17"/>
      <c r="BD5" s="17"/>
      <c r="BE5" s="17"/>
      <c r="BF5" s="17"/>
      <c r="BG5" s="17"/>
      <c r="BH5" s="19"/>
      <c r="BI5" s="17"/>
      <c r="BJ5" s="17"/>
      <c r="BK5" s="17"/>
      <c r="BL5" s="20"/>
      <c r="BM5" s="20"/>
      <c r="BN5" s="20"/>
      <c r="BO5" s="20"/>
      <c r="BP5" s="20"/>
      <c r="BQ5" s="20"/>
      <c r="BR5" s="20"/>
      <c r="BS5" s="17"/>
      <c r="BT5" s="17"/>
      <c r="BW5" s="18"/>
      <c r="BX5" s="18"/>
      <c r="CD5" s="17"/>
      <c r="CE5" s="17"/>
      <c r="CF5" s="17"/>
      <c r="CG5" s="17"/>
      <c r="CH5" s="19"/>
      <c r="CI5" s="19"/>
      <c r="CJ5" s="18"/>
      <c r="CK5" s="18"/>
      <c r="CL5" s="18"/>
      <c r="CM5" s="22"/>
      <c r="CN5" s="17"/>
      <c r="CO5" s="18"/>
      <c r="CP5" s="22"/>
      <c r="CQ5" s="23"/>
      <c r="CR5" s="23"/>
      <c r="CS5" s="23"/>
      <c r="CT5" s="23"/>
      <c r="CU5" s="23"/>
      <c r="CV5" s="23"/>
      <c r="CW5" s="18"/>
      <c r="CX5" s="18"/>
    </row>
    <row r="6" spans="1:102" ht="27.75" x14ac:dyDescent="0.5">
      <c r="A6" s="132"/>
      <c r="B6" s="81" t="s">
        <v>66</v>
      </c>
      <c r="C6" s="81" t="s">
        <v>62</v>
      </c>
      <c r="D6" s="81" t="s">
        <v>64</v>
      </c>
      <c r="E6" s="81" t="s">
        <v>63</v>
      </c>
      <c r="F6" s="94" t="s">
        <v>52</v>
      </c>
      <c r="G6" s="95" t="s">
        <v>55</v>
      </c>
      <c r="H6" s="94"/>
      <c r="I6" s="95"/>
      <c r="J6" s="94"/>
      <c r="K6" s="95"/>
      <c r="L6" s="100"/>
      <c r="M6" s="23"/>
      <c r="N6" s="23"/>
      <c r="O6" s="18"/>
      <c r="P6" s="18"/>
      <c r="T6" s="17"/>
      <c r="U6" s="22"/>
      <c r="V6" s="18"/>
      <c r="W6" s="18"/>
      <c r="X6" s="18"/>
      <c r="Y6" s="18"/>
      <c r="Z6" s="17"/>
      <c r="AA6" s="18"/>
      <c r="AB6" s="18"/>
      <c r="AC6" s="22"/>
      <c r="AD6" s="23"/>
      <c r="AE6" s="23"/>
      <c r="AF6" s="23"/>
      <c r="AG6" s="23"/>
      <c r="AH6" s="23"/>
      <c r="AI6" s="23"/>
      <c r="AJ6" s="23"/>
      <c r="AK6" s="21"/>
      <c r="AL6" s="21"/>
      <c r="AM6" s="21"/>
      <c r="AN6" s="21"/>
      <c r="AO6" s="24"/>
      <c r="AP6" s="17"/>
      <c r="AQ6" s="22"/>
      <c r="AR6" s="18"/>
      <c r="AS6" s="18"/>
      <c r="AT6" s="18"/>
      <c r="AU6" s="17"/>
      <c r="AV6" s="18"/>
      <c r="AW6" s="22"/>
      <c r="AX6" s="23"/>
      <c r="AY6" s="23"/>
      <c r="AZ6" s="23"/>
      <c r="BA6" s="23"/>
      <c r="BB6" s="23"/>
      <c r="BC6" s="23"/>
      <c r="BD6" s="17"/>
      <c r="BE6" s="17"/>
      <c r="BF6" s="17"/>
      <c r="BG6" s="17"/>
      <c r="BH6" s="17"/>
      <c r="BI6" s="17"/>
      <c r="BJ6" s="22"/>
      <c r="BK6" s="18"/>
      <c r="BL6" s="18"/>
      <c r="BM6" s="18"/>
      <c r="BN6" s="17"/>
      <c r="BO6" s="18"/>
      <c r="BP6" s="22"/>
      <c r="BQ6" s="23"/>
      <c r="BR6" s="23"/>
      <c r="BS6" s="23"/>
      <c r="BT6" s="23"/>
      <c r="BU6" s="23"/>
      <c r="BV6" s="23"/>
      <c r="BW6" s="20"/>
      <c r="BX6" s="20"/>
      <c r="CD6" s="17"/>
      <c r="CE6" s="17"/>
      <c r="CF6" s="17"/>
      <c r="CG6" s="17"/>
      <c r="CH6" s="17"/>
      <c r="CI6" s="17"/>
      <c r="CJ6" s="21"/>
      <c r="CK6" s="21"/>
      <c r="CL6" s="21"/>
      <c r="CM6" s="21"/>
      <c r="CN6" s="21"/>
      <c r="CO6" s="24"/>
      <c r="CP6" s="21"/>
      <c r="CQ6" s="21"/>
      <c r="CR6" s="21"/>
      <c r="CS6" s="21"/>
      <c r="CT6" s="21"/>
      <c r="CU6" s="21"/>
      <c r="CV6" s="24"/>
      <c r="CW6" s="20"/>
      <c r="CX6" s="20"/>
    </row>
    <row r="7" spans="1:102" x14ac:dyDescent="0.4">
      <c r="A7" s="132"/>
      <c r="B7" s="86">
        <f>VLOOKUP(C1,ParamTable_SWC!$B$4:$CI$45,16,FALSE)</f>
        <v>1.2649087687328917</v>
      </c>
      <c r="C7" s="86">
        <f>VLOOKUP(C1,ParamTable_SWC!$B$4:$CI$45,17,FALSE)</f>
        <v>0.30497000000000002</v>
      </c>
      <c r="D7" s="86">
        <f>VLOOKUP(C1,ParamTable_SWC!$B$4:$CI$45,18,FALSE)</f>
        <v>0.49020999999999998</v>
      </c>
      <c r="E7" s="86">
        <f>VLOOKUP(C1,ParamTable_SWC!$B$4:$CI$45,19,FALSE)</f>
        <v>0.50417000000000001</v>
      </c>
      <c r="F7" s="98" t="s">
        <v>71</v>
      </c>
      <c r="G7" s="96">
        <f>MATCH(C1,ParamTable_SWC!$B$1:$B$46,0)</f>
        <v>4</v>
      </c>
      <c r="H7" s="98"/>
      <c r="I7" s="96"/>
      <c r="J7" s="98"/>
      <c r="K7" s="96"/>
      <c r="L7" s="101"/>
      <c r="M7" s="21"/>
      <c r="N7" s="24"/>
      <c r="O7" s="20"/>
      <c r="P7" s="20"/>
      <c r="Q7" s="17"/>
      <c r="R7" s="17"/>
      <c r="S7" s="17"/>
      <c r="T7" s="17"/>
      <c r="U7" s="21"/>
      <c r="V7" s="21"/>
      <c r="W7" s="21"/>
      <c r="X7" s="21"/>
      <c r="Y7" s="21"/>
      <c r="Z7" s="21"/>
      <c r="AA7" s="24"/>
      <c r="AB7" s="24"/>
      <c r="AD7" s="17"/>
      <c r="AE7" s="21"/>
      <c r="AF7" s="21"/>
      <c r="AG7" s="21"/>
      <c r="AH7" s="21"/>
      <c r="AI7" s="21"/>
      <c r="AJ7" s="24"/>
      <c r="AO7" s="17"/>
      <c r="AP7" s="17"/>
      <c r="AQ7" s="21"/>
      <c r="AR7" s="21"/>
      <c r="AS7" s="21"/>
      <c r="AT7" s="21"/>
      <c r="AU7" s="21"/>
      <c r="AV7" s="24"/>
      <c r="AX7" s="17"/>
      <c r="AY7" s="21"/>
      <c r="AZ7" s="21"/>
      <c r="BA7" s="21"/>
      <c r="BB7" s="21"/>
      <c r="BC7" s="24"/>
      <c r="BD7" s="17"/>
      <c r="BE7" s="36"/>
      <c r="BF7" s="17"/>
      <c r="BG7" s="17"/>
      <c r="BI7" s="17"/>
      <c r="BJ7" s="21"/>
      <c r="BK7" s="21"/>
      <c r="BL7" s="21"/>
      <c r="BM7" s="21"/>
      <c r="BN7" s="21"/>
      <c r="BO7" s="24"/>
      <c r="BQ7" s="17"/>
      <c r="BR7" s="21"/>
      <c r="BS7" s="21"/>
      <c r="BT7" s="21"/>
      <c r="BU7" s="21"/>
      <c r="BV7" s="24"/>
      <c r="BW7" s="17"/>
      <c r="BX7" s="17"/>
      <c r="CD7" s="17"/>
      <c r="CE7" s="36"/>
      <c r="CF7" s="17"/>
      <c r="CG7" s="17"/>
      <c r="CO7" s="17"/>
      <c r="CP7" s="17"/>
      <c r="CQ7" s="17"/>
      <c r="CR7" s="17"/>
      <c r="CS7" s="17"/>
      <c r="CT7" s="17"/>
      <c r="CU7" s="17"/>
      <c r="CV7" s="17"/>
      <c r="CW7" s="17"/>
      <c r="CX7" s="17"/>
    </row>
    <row r="8" spans="1:102" x14ac:dyDescent="0.4">
      <c r="A8" s="17"/>
      <c r="B8" s="17"/>
      <c r="C8" s="17"/>
      <c r="D8" s="17"/>
      <c r="M8" s="21"/>
      <c r="N8" s="21"/>
      <c r="O8" s="21"/>
      <c r="P8" s="17"/>
      <c r="Q8" s="17"/>
      <c r="R8" s="17"/>
      <c r="S8" s="17"/>
      <c r="T8" s="17"/>
      <c r="U8" s="17"/>
      <c r="AC8" s="17"/>
      <c r="AD8" s="17"/>
      <c r="AE8" s="17"/>
      <c r="AF8" s="17"/>
      <c r="AG8" s="17"/>
      <c r="AO8" s="25"/>
      <c r="AP8" s="25"/>
      <c r="AQ8" s="25"/>
      <c r="AR8" s="25"/>
      <c r="AS8" s="17"/>
      <c r="AT8" s="17"/>
      <c r="AU8" s="17"/>
      <c r="AV8" s="17"/>
      <c r="AW8" s="17"/>
      <c r="AX8" s="17"/>
      <c r="BD8" s="17"/>
      <c r="BE8" s="17"/>
      <c r="BF8" s="17"/>
      <c r="BG8" s="17"/>
      <c r="BO8" s="25"/>
      <c r="BP8" s="25"/>
      <c r="BQ8" s="25"/>
      <c r="BR8" s="25"/>
      <c r="BS8" s="17"/>
      <c r="BT8" s="17"/>
      <c r="BU8" s="17"/>
      <c r="BV8" s="17"/>
      <c r="BW8" s="17"/>
      <c r="BX8" s="17"/>
      <c r="CD8" s="17"/>
      <c r="CE8" s="17"/>
      <c r="CF8" s="17"/>
      <c r="CG8" s="17"/>
      <c r="CO8" s="25"/>
      <c r="CP8" s="25"/>
      <c r="CQ8" s="25"/>
      <c r="CR8" s="25"/>
      <c r="CS8" s="17"/>
      <c r="CT8" s="17"/>
      <c r="CU8" s="17"/>
      <c r="CV8" s="17"/>
      <c r="CW8" s="17"/>
      <c r="CX8" s="17"/>
    </row>
    <row r="9" spans="1:102" x14ac:dyDescent="0.4">
      <c r="A9" s="73"/>
      <c r="B9" s="74"/>
      <c r="C9" s="133" t="s">
        <v>21</v>
      </c>
      <c r="D9" s="133"/>
      <c r="E9" s="133"/>
      <c r="F9" s="133"/>
      <c r="G9" s="133"/>
      <c r="I9" s="133"/>
      <c r="J9" s="133"/>
      <c r="K9" s="133"/>
      <c r="L9" s="133"/>
      <c r="N9" t="s">
        <v>45</v>
      </c>
      <c r="O9">
        <v>5</v>
      </c>
      <c r="P9" s="21"/>
      <c r="Q9" s="117"/>
      <c r="AO9" s="21"/>
      <c r="AP9" s="21"/>
      <c r="AQ9" s="21"/>
      <c r="AR9" s="21"/>
      <c r="AS9" s="21"/>
      <c r="AT9" s="21"/>
      <c r="AU9" s="21"/>
      <c r="BE9" s="36"/>
      <c r="BF9" s="21"/>
      <c r="BG9" s="17"/>
      <c r="BH9" s="17"/>
      <c r="BO9" s="21"/>
      <c r="BP9" s="21"/>
      <c r="BQ9" s="21"/>
      <c r="BR9" s="21"/>
      <c r="BS9" s="21"/>
      <c r="BT9" s="21"/>
      <c r="BU9" s="21"/>
      <c r="CE9" s="36"/>
      <c r="CF9" s="21"/>
      <c r="CG9" s="17"/>
      <c r="CH9" s="17"/>
      <c r="CO9" s="21"/>
      <c r="CP9" s="21"/>
      <c r="CQ9" s="21"/>
      <c r="CR9" s="21"/>
      <c r="CS9" s="21"/>
      <c r="CT9" s="21"/>
      <c r="CU9" s="21"/>
    </row>
    <row r="10" spans="1:102" x14ac:dyDescent="0.4">
      <c r="A10" s="77" t="s">
        <v>42</v>
      </c>
      <c r="B10" s="77" t="s">
        <v>28</v>
      </c>
      <c r="C10" s="77">
        <v>4</v>
      </c>
      <c r="D10" s="77">
        <v>5</v>
      </c>
      <c r="E10" s="77">
        <v>6</v>
      </c>
      <c r="F10" s="75">
        <v>7</v>
      </c>
      <c r="G10" s="75">
        <v>8</v>
      </c>
      <c r="I10" s="77"/>
      <c r="J10" s="77"/>
      <c r="K10" s="75"/>
      <c r="L10" s="75"/>
      <c r="N10" t="s">
        <v>21</v>
      </c>
      <c r="O10" s="75" t="s">
        <v>46</v>
      </c>
      <c r="P10" s="45"/>
      <c r="Q10" s="75"/>
      <c r="R10" s="45"/>
      <c r="S10" s="75"/>
      <c r="T10" s="45"/>
      <c r="U10" s="75"/>
      <c r="V10" s="45"/>
      <c r="W10" s="114"/>
      <c r="X10" s="114"/>
      <c r="Y10" s="114"/>
      <c r="Z10" s="14"/>
      <c r="AA10" s="14"/>
      <c r="AB10" s="114"/>
      <c r="AC10" s="114"/>
      <c r="AD10" s="114"/>
      <c r="AE10" s="14"/>
      <c r="AF10" s="14"/>
      <c r="AG10" s="114"/>
      <c r="AH10" s="114"/>
      <c r="AI10" s="114"/>
      <c r="AJ10" s="14"/>
      <c r="AK10" s="14"/>
      <c r="AL10" s="114"/>
      <c r="AM10" s="23"/>
      <c r="AN10" s="23"/>
      <c r="AO10" s="26"/>
      <c r="AP10" s="23"/>
      <c r="AQ10" s="23"/>
      <c r="AR10" s="17"/>
      <c r="AS10" s="17"/>
      <c r="AT10" s="23"/>
      <c r="AU10" s="23"/>
      <c r="AV10" s="17"/>
      <c r="AW10" s="17"/>
      <c r="BE10" s="17"/>
      <c r="BF10" s="17"/>
      <c r="BG10" s="17"/>
      <c r="BH10" s="23"/>
      <c r="BI10" s="37"/>
      <c r="BJ10" s="37"/>
      <c r="BK10" s="26"/>
      <c r="BL10" s="17"/>
      <c r="BM10" s="23"/>
      <c r="BN10" s="23"/>
      <c r="BO10" s="17"/>
      <c r="BP10" s="17"/>
      <c r="BQ10" s="23"/>
      <c r="BR10" s="17"/>
      <c r="BS10" s="17"/>
      <c r="BT10" s="17"/>
      <c r="BU10" s="17"/>
      <c r="BV10" s="17"/>
      <c r="CE10" s="17"/>
      <c r="CF10" s="17"/>
      <c r="CG10" s="17"/>
      <c r="CH10" s="23"/>
      <c r="CI10" s="37"/>
      <c r="CJ10" s="37"/>
      <c r="CK10" s="26"/>
      <c r="CL10" s="23"/>
      <c r="CM10" s="23"/>
      <c r="CN10" s="23"/>
      <c r="CO10" s="26"/>
      <c r="CP10" s="23"/>
      <c r="CQ10" s="23"/>
      <c r="CR10" s="17"/>
      <c r="CS10" s="17"/>
      <c r="CT10" s="17"/>
      <c r="CU10" s="17"/>
      <c r="CV10" s="17"/>
    </row>
    <row r="11" spans="1:102" x14ac:dyDescent="0.4">
      <c r="A11" s="73">
        <v>1</v>
      </c>
      <c r="B11" s="73">
        <v>1</v>
      </c>
      <c r="C11" s="76" cm="1">
        <f t="array" ref="C11">fcr_XN(C$10,$E$1,$K$1,$B11,$I$1,$B$5,$C$5,$B$3,$C$3,$D$3,$E$3,$F$3,$G$3,$H$3,$D$5,$E$5,$F$5,$G$5,$H$5,$B$7,$C$7,$D$7,$E$7,$G$7)</f>
        <v>0.50104911869004365</v>
      </c>
      <c r="D11" s="76" cm="1">
        <f t="array" ref="D11">fcr_XN(D$10,$E$1,$K$1,$B11,$I$1,$B$5,$C$5,$B$3,$C$3,$D$3,$E$3,$F$3,$G$3,$H$3,$D$5,$E$5,$F$5,$G$5,$H$5,$B$7,$C$7,$D$7,$E$7,$G$7)</f>
        <v>0.62658523273441979</v>
      </c>
      <c r="E11" s="76" cm="1">
        <f t="array" ref="E11">fcr_XN(E$10,$E$1,$K$1,$B11,$I$1,$B$5,$C$5,$B$3,$C$3,$D$3,$E$3,$F$3,$G$3,$H$3,$D$5,$E$5,$F$5,$G$5,$H$5,$B$7,$C$7,$D$7,$E$7,$G$7)</f>
        <v>0.73106997127217288</v>
      </c>
      <c r="F11" s="76" cm="1">
        <f t="array" ref="F11">fcr_XN(F$10,$E$1,$K$1,$B11,$I$1,$B$5,$C$5,$B$3,$C$3,$D$3,$E$3,$F$3,$G$3,$H$3,$D$5,$E$5,$F$5,$G$5,$H$5,$B$7,$C$7,$D$7,$E$7,$G$7)</f>
        <v>0.81819082604861404</v>
      </c>
      <c r="G11" s="76" cm="1">
        <f t="array" ref="G11">fcr_XN(G$10,$E$1,$K$1,$B11,$I$1,$B$5,$C$5,$B$3,$C$3,$D$3,$E$3,$F$3,$G$3,$H$3,$D$5,$E$5,$F$5,$G$5,$H$5,$B$7,$C$7,$D$7,$E$7,$G$7)</f>
        <v>0.98440486105283853</v>
      </c>
      <c r="I11" s="76"/>
      <c r="J11" s="76"/>
      <c r="K11" s="76"/>
      <c r="L11" s="76"/>
      <c r="N11">
        <v>3.5</v>
      </c>
      <c r="O11" s="76" cm="1">
        <f t="array" ref="O11">fcr_XN($N11,$E$1,$K$1,O$9,$I$1,$B$5,$C$5,$B$3,$C$3,$D$3,$E$3,$F$3,$G$3,$H$3,$D$5,$E$5,$F$5,$G$5,$H$5,$B$7,$C$7,$D$7,$E$7,$G$7)</f>
        <v>0.1395859025449204</v>
      </c>
      <c r="P11" s="50"/>
      <c r="Q11" s="76"/>
      <c r="R11" s="50"/>
      <c r="S11" s="76"/>
      <c r="T11" s="50"/>
      <c r="U11" s="76"/>
      <c r="V11" s="50"/>
      <c r="W11" s="12"/>
      <c r="X11" s="12"/>
      <c r="Y11" s="115"/>
      <c r="Z11" s="12"/>
      <c r="AA11" s="12"/>
      <c r="AB11" s="12"/>
      <c r="AC11" s="12"/>
      <c r="AD11" s="12"/>
      <c r="AE11" s="12"/>
      <c r="AF11" s="115"/>
      <c r="AG11" s="115"/>
      <c r="AH11" s="115"/>
      <c r="AI11" s="115"/>
      <c r="AJ11" s="115"/>
      <c r="AK11" s="115"/>
      <c r="AL11" s="12"/>
      <c r="AM11" s="3"/>
      <c r="AN11" s="13"/>
      <c r="AO11" s="13"/>
      <c r="AP11" s="13"/>
      <c r="AQ11" s="17"/>
      <c r="AR11" s="17"/>
      <c r="AS11" s="17"/>
      <c r="BE11" s="17"/>
      <c r="BF11" s="17"/>
      <c r="BG11" s="17"/>
      <c r="BH11" s="27"/>
      <c r="BI11" s="28"/>
      <c r="BJ11" s="17"/>
      <c r="BK11" s="17"/>
      <c r="BL11" s="17"/>
      <c r="BQ11" s="13"/>
      <c r="BR11" s="13"/>
      <c r="BS11" s="13"/>
      <c r="BT11" s="13"/>
      <c r="BU11" s="13"/>
      <c r="BV11" s="13"/>
      <c r="CE11" s="17"/>
      <c r="CF11" s="17"/>
      <c r="CG11" s="17"/>
      <c r="CH11" s="27"/>
      <c r="CI11" s="28"/>
      <c r="CJ11" s="28"/>
      <c r="CK11" s="28"/>
      <c r="CL11" s="29"/>
      <c r="CM11" s="3"/>
      <c r="CN11" s="13"/>
      <c r="CO11" s="13"/>
      <c r="CP11" s="13"/>
      <c r="CQ11" s="13"/>
      <c r="CR11" s="13"/>
      <c r="CS11" s="13"/>
      <c r="CT11" s="13"/>
      <c r="CU11" s="13"/>
      <c r="CV11" s="13"/>
    </row>
    <row r="12" spans="1:102" x14ac:dyDescent="0.4">
      <c r="A12" s="73">
        <v>2</v>
      </c>
      <c r="B12" s="73">
        <v>2</v>
      </c>
      <c r="C12" s="76" cm="1">
        <f t="array" ref="C12">fcr_XN(C$10,$E$1,$K$1,$B12,$I$1,$B$5,$C$5,$B$3,$C$3,$D$3,$E$3,$F$3,$G$3,$H$3,$D$5,$E$5,$F$5,$G$5,$H$5,$B$7,$C$7,$D$7,$E$7,$G$7)</f>
        <v>0.36084337267689343</v>
      </c>
      <c r="D12" s="76" cm="1">
        <f t="array" ref="D12">fcr_XN(D$10,$E$1,$K$1,$B12,$I$1,$B$5,$C$5,$B$3,$C$3,$D$3,$E$3,$F$3,$G$3,$H$3,$D$5,$E$5,$F$5,$G$5,$H$5,$B$7,$C$7,$D$7,$E$7,$G$7)</f>
        <v>0.4898824293418565</v>
      </c>
      <c r="E12" s="76" cm="1">
        <f t="array" ref="E12">fcr_XN(E$10,$E$1,$K$1,$B12,$I$1,$B$5,$C$5,$B$3,$C$3,$D$3,$E$3,$F$3,$G$3,$H$3,$D$5,$E$5,$F$5,$G$5,$H$5,$B$7,$C$7,$D$7,$E$7,$G$7)</f>
        <v>0.6304184686602563</v>
      </c>
      <c r="F12" s="76" cm="1">
        <f t="array" ref="F12">fcr_XN(F$10,$E$1,$K$1,$B12,$I$1,$B$5,$C$5,$B$3,$C$3,$D$3,$E$3,$F$3,$G$3,$H$3,$D$5,$E$5,$F$5,$G$5,$H$5,$B$7,$C$7,$D$7,$E$7,$G$7)</f>
        <v>0.76263820955924022</v>
      </c>
      <c r="G12" s="76" cm="1">
        <f t="array" ref="G12">fcr_XN(G$10,$E$1,$K$1,$B12,$I$1,$B$5,$C$5,$B$3,$C$3,$D$3,$E$3,$F$3,$G$3,$H$3,$D$5,$E$5,$F$5,$G$5,$H$5,$B$7,$C$7,$D$7,$E$7,$G$7)</f>
        <v>0.92305057579465566</v>
      </c>
      <c r="I12" s="76"/>
      <c r="J12" s="76"/>
      <c r="K12" s="76"/>
      <c r="L12" s="76"/>
      <c r="N12">
        <v>3.75</v>
      </c>
      <c r="O12" s="76" cm="1">
        <f t="array" ref="O12">fcr_XN($N12,$E$1,$K$1,O$9,$I$1,$B$5,$C$5,$B$3,$C$3,$D$3,$E$3,$F$3,$G$3,$H$3,$D$5,$E$5,$F$5,$G$5,$H$5,$B$7,$C$7,$D$7,$E$7,$G$7)</f>
        <v>0.15158687009389843</v>
      </c>
      <c r="P12" s="50"/>
      <c r="Q12" s="76"/>
      <c r="R12" s="50"/>
      <c r="S12" s="76"/>
      <c r="T12" s="50"/>
      <c r="U12" s="76"/>
      <c r="V12" s="50"/>
      <c r="W12" s="115"/>
      <c r="X12" s="115"/>
      <c r="Y12" s="115"/>
      <c r="Z12" s="12"/>
      <c r="AA12" s="115"/>
      <c r="AB12" s="12"/>
      <c r="AC12" s="12"/>
      <c r="AD12" s="115"/>
      <c r="AE12" s="115"/>
      <c r="AF12" s="115"/>
      <c r="AG12" s="115"/>
      <c r="AH12" s="115"/>
      <c r="AI12" s="115"/>
      <c r="AJ12" s="115"/>
      <c r="AK12" s="115"/>
      <c r="AL12" s="12"/>
      <c r="AM12" s="3"/>
      <c r="AN12" s="13"/>
      <c r="AO12" s="13"/>
      <c r="AP12" s="13"/>
      <c r="AQ12" s="17"/>
      <c r="AR12" s="17"/>
      <c r="AS12" s="17"/>
      <c r="BE12" s="17"/>
      <c r="BF12" s="17"/>
      <c r="BG12" s="17"/>
      <c r="BH12" s="27"/>
      <c r="BI12" s="28"/>
      <c r="BJ12" s="17"/>
      <c r="BK12" s="17"/>
      <c r="BL12" s="17"/>
      <c r="BQ12" s="13"/>
      <c r="BR12" s="13"/>
      <c r="BS12" s="13"/>
      <c r="BT12" s="13"/>
      <c r="BU12" s="13"/>
      <c r="BV12" s="13"/>
      <c r="CE12" s="17"/>
      <c r="CF12" s="17"/>
      <c r="CG12" s="17"/>
      <c r="CH12" s="27"/>
      <c r="CI12" s="28"/>
      <c r="CJ12" s="28"/>
      <c r="CK12" s="28"/>
      <c r="CL12" s="29"/>
      <c r="CM12" s="3"/>
      <c r="CN12" s="13"/>
      <c r="CO12" s="13"/>
      <c r="CP12" s="13"/>
      <c r="CQ12" s="13"/>
      <c r="CR12" s="13"/>
      <c r="CS12" s="13"/>
      <c r="CT12" s="13"/>
      <c r="CU12" s="13"/>
      <c r="CV12" s="13"/>
    </row>
    <row r="13" spans="1:102" x14ac:dyDescent="0.4">
      <c r="A13" s="73">
        <v>3</v>
      </c>
      <c r="B13" s="73">
        <v>3</v>
      </c>
      <c r="C13" s="76" cm="1">
        <f t="array" ref="C13">fcr_XN(C$10,$E$1,$K$1,$B13,$I$1,$B$5,$C$5,$B$3,$C$3,$D$3,$E$3,$F$3,$G$3,$H$3,$D$5,$E$5,$F$5,$G$5,$H$5,$B$7,$C$7,$D$7,$E$7,$G$7)</f>
        <v>0.27084710886512875</v>
      </c>
      <c r="D13" s="76" cm="1">
        <f t="array" ref="D13">fcr_XN(D$10,$E$1,$K$1,$B13,$I$1,$B$5,$C$5,$B$3,$C$3,$D$3,$E$3,$F$3,$G$3,$H$3,$D$5,$E$5,$F$5,$G$5,$H$5,$B$7,$C$7,$D$7,$E$7,$G$7)</f>
        <v>0.39250207852491065</v>
      </c>
      <c r="E13" s="76" cm="1">
        <f t="array" ref="E13">fcr_XN(E$10,$E$1,$K$1,$B13,$I$1,$B$5,$C$5,$B$3,$C$3,$D$3,$E$3,$F$3,$G$3,$H$3,$D$5,$E$5,$F$5,$G$5,$H$5,$B$7,$C$7,$D$7,$E$7,$G$7)</f>
        <v>0.54886925334803904</v>
      </c>
      <c r="F13" s="76" cm="1">
        <f t="array" ref="F13">fcr_XN(F$10,$E$1,$K$1,$B13,$I$1,$B$5,$C$5,$B$3,$C$3,$D$3,$E$3,$F$3,$G$3,$H$3,$D$5,$E$5,$F$5,$G$5,$H$5,$B$7,$C$7,$D$7,$E$7,$G$7)</f>
        <v>0.71258826123689112</v>
      </c>
      <c r="G13" s="76" cm="1">
        <f t="array" ref="G13">fcr_XN(G$10,$E$1,$K$1,$B13,$I$1,$B$5,$C$5,$B$3,$C$3,$D$3,$E$3,$F$3,$G$3,$H$3,$D$5,$E$5,$F$5,$G$5,$H$5,$B$7,$C$7,$D$7,$E$7,$G$7)</f>
        <v>0.86731826222155595</v>
      </c>
      <c r="I13" s="76"/>
      <c r="J13" s="76"/>
      <c r="K13" s="76"/>
      <c r="L13" s="76"/>
      <c r="N13">
        <v>4</v>
      </c>
      <c r="O13" s="76" cm="1">
        <f t="array" ref="O13">fcr_XN($N13,$E$1,$K$1,O$9,$I$1,$B$5,$C$5,$B$3,$C$3,$D$3,$E$3,$F$3,$G$3,$H$3,$D$5,$E$5,$F$5,$G$5,$H$5,$B$7,$C$7,$D$7,$E$7,$G$7)</f>
        <v>0.16690909693509509</v>
      </c>
      <c r="P13" s="50"/>
      <c r="Q13" s="76"/>
      <c r="R13" s="50"/>
      <c r="S13" s="76"/>
      <c r="T13" s="50"/>
      <c r="U13" s="76"/>
      <c r="V13" s="50"/>
      <c r="W13" s="115"/>
      <c r="X13" s="115"/>
      <c r="Y13" s="115"/>
      <c r="Z13" s="12"/>
      <c r="AA13" s="115"/>
      <c r="AB13" s="12"/>
      <c r="AC13" s="12"/>
      <c r="AD13" s="115"/>
      <c r="AE13" s="115"/>
      <c r="AF13" s="115"/>
      <c r="AG13" s="115"/>
      <c r="AH13" s="115"/>
      <c r="AI13" s="115"/>
      <c r="AJ13" s="115"/>
      <c r="AK13" s="115"/>
      <c r="AL13" s="12"/>
      <c r="AM13" s="3"/>
      <c r="AN13" s="13"/>
      <c r="AO13" s="13"/>
      <c r="AP13" s="13"/>
      <c r="AQ13" s="17"/>
      <c r="AR13" s="17"/>
      <c r="AS13" s="17"/>
      <c r="BE13" s="17"/>
      <c r="BF13" s="17"/>
      <c r="BG13" s="17"/>
      <c r="BH13" s="27"/>
      <c r="BI13" s="28"/>
      <c r="BJ13" s="17"/>
      <c r="BK13" s="17"/>
      <c r="BL13" s="17"/>
      <c r="BQ13" s="13"/>
      <c r="BR13" s="13"/>
      <c r="BS13" s="13"/>
      <c r="BT13" s="13"/>
      <c r="BU13" s="13"/>
      <c r="BV13" s="13"/>
      <c r="CE13" s="17"/>
      <c r="CF13" s="17"/>
      <c r="CG13" s="17"/>
      <c r="CH13" s="27"/>
      <c r="CI13" s="28"/>
      <c r="CJ13" s="28"/>
      <c r="CK13" s="28"/>
      <c r="CL13" s="29"/>
      <c r="CM13" s="3"/>
      <c r="CN13" s="13"/>
      <c r="CO13" s="13"/>
      <c r="CP13" s="13"/>
      <c r="CQ13" s="13"/>
      <c r="CR13" s="13"/>
      <c r="CS13" s="13"/>
      <c r="CT13" s="13"/>
      <c r="CU13" s="13"/>
      <c r="CV13" s="13"/>
    </row>
    <row r="14" spans="1:102" x14ac:dyDescent="0.4">
      <c r="A14" s="73">
        <v>4</v>
      </c>
      <c r="B14" s="73">
        <v>5</v>
      </c>
      <c r="C14" s="76" cm="1">
        <f t="array" ref="C14">fcr_XN(C$10,$E$1,$K$1,$B14,$I$1,$B$5,$C$5,$B$3,$C$3,$D$3,$E$3,$F$3,$G$3,$H$3,$D$5,$E$5,$F$5,$G$5,$H$5,$B$7,$C$7,$D$7,$E$7,$G$7)</f>
        <v>0.16690909693509509</v>
      </c>
      <c r="D14" s="76" cm="1">
        <f t="array" ref="D14">fcr_XN(D$10,$E$1,$K$1,$B14,$I$1,$B$5,$C$5,$B$3,$C$3,$D$3,$E$3,$F$3,$G$3,$H$3,$D$5,$E$5,$F$5,$G$5,$H$5,$B$7,$C$7,$D$7,$E$7,$G$7)</f>
        <v>0.26669119054385981</v>
      </c>
      <c r="E14" s="76" cm="1">
        <f t="array" ref="E14">fcr_XN(E$10,$E$1,$K$1,$B14,$I$1,$B$5,$C$5,$B$3,$C$3,$D$3,$E$3,$F$3,$G$3,$H$3,$D$5,$E$5,$F$5,$G$5,$H$5,$B$7,$C$7,$D$7,$E$7,$G$7)</f>
        <v>0.4263111908939497</v>
      </c>
      <c r="F14" s="76" cm="1">
        <f t="array" ref="F14">fcr_XN(F$10,$E$1,$K$1,$B14,$I$1,$B$5,$C$5,$B$3,$C$3,$D$3,$E$3,$F$3,$G$3,$H$3,$D$5,$E$5,$F$5,$G$5,$H$5,$B$7,$C$7,$D$7,$E$7,$G$7)</f>
        <v>0.626290137158931</v>
      </c>
      <c r="G14" s="76" cm="1">
        <f t="array" ref="G14">fcr_XN(G$10,$E$1,$K$1,$B14,$I$1,$B$5,$C$5,$B$3,$C$3,$D$3,$E$3,$F$3,$G$3,$H$3,$D$5,$E$5,$F$5,$G$5,$H$5,$B$7,$C$7,$D$7,$E$7,$G$7)</f>
        <v>0.77014284064139804</v>
      </c>
      <c r="I14" s="76"/>
      <c r="J14" s="76"/>
      <c r="K14" s="76"/>
      <c r="L14" s="76"/>
      <c r="N14">
        <v>4.25</v>
      </c>
      <c r="O14" s="76" cm="1">
        <f t="array" ref="O14">fcr_XN($N14,$E$1,$K$1,O$9,$I$1,$B$5,$C$5,$B$3,$C$3,$D$3,$E$3,$F$3,$G$3,$H$3,$D$5,$E$5,$F$5,$G$5,$H$5,$B$7,$C$7,$D$7,$E$7,$G$7)</f>
        <v>0.18585649369781229</v>
      </c>
      <c r="P14" s="50"/>
      <c r="Q14" s="76"/>
      <c r="R14" s="50"/>
      <c r="S14" s="76"/>
      <c r="T14" s="50"/>
      <c r="U14" s="76"/>
      <c r="V14" s="50"/>
      <c r="W14" s="115"/>
      <c r="X14" s="115"/>
      <c r="Y14" s="115"/>
      <c r="Z14" s="12"/>
      <c r="AA14" s="115"/>
      <c r="AB14" s="12"/>
      <c r="AC14" s="12"/>
      <c r="AD14" s="115"/>
      <c r="AE14" s="115"/>
      <c r="AF14" s="115"/>
      <c r="AG14" s="115"/>
      <c r="AH14" s="115"/>
      <c r="AI14" s="115"/>
      <c r="AJ14" s="115"/>
      <c r="AK14" s="115"/>
      <c r="AL14" s="12"/>
      <c r="AM14" s="3"/>
      <c r="AN14" s="13"/>
      <c r="AO14" s="13"/>
      <c r="AP14" s="13"/>
      <c r="AQ14" s="17"/>
      <c r="AR14" s="17"/>
      <c r="AS14" s="17"/>
      <c r="BE14" s="17"/>
      <c r="BF14" s="17"/>
      <c r="BG14" s="17"/>
      <c r="BH14" s="27"/>
      <c r="BI14" s="28"/>
      <c r="BJ14" s="17"/>
      <c r="BK14" s="17"/>
      <c r="BL14" s="17"/>
      <c r="BQ14" s="13"/>
      <c r="BR14" s="13"/>
      <c r="BS14" s="13"/>
      <c r="BT14" s="13"/>
      <c r="BU14" s="13"/>
      <c r="BV14" s="13"/>
      <c r="CE14" s="17"/>
      <c r="CF14" s="17"/>
      <c r="CG14" s="17"/>
      <c r="CH14" s="27"/>
      <c r="CI14" s="28"/>
      <c r="CJ14" s="28"/>
      <c r="CK14" s="28"/>
      <c r="CL14" s="29"/>
      <c r="CM14" s="3"/>
      <c r="CN14" s="13"/>
      <c r="CO14" s="13"/>
      <c r="CP14" s="13"/>
      <c r="CQ14" s="13"/>
      <c r="CR14" s="13"/>
      <c r="CS14" s="13"/>
      <c r="CT14" s="13"/>
      <c r="CU14" s="13"/>
      <c r="CV14" s="13"/>
    </row>
    <row r="15" spans="1:102" x14ac:dyDescent="0.4">
      <c r="A15" s="73">
        <v>5</v>
      </c>
      <c r="B15" s="73">
        <v>7</v>
      </c>
      <c r="C15" s="76" cm="1">
        <f t="array" ref="C15">fcr_XN(C$10,$E$1,$K$1,$B15,$I$1,$B$5,$C$5,$B$3,$C$3,$D$3,$E$3,$F$3,$G$3,$H$3,$D$5,$E$5,$F$5,$G$5,$H$5,$B$7,$C$7,$D$7,$E$7,$G$7)</f>
        <v>0.11197350590362229</v>
      </c>
      <c r="D15" s="76" cm="1">
        <f t="array" ref="D15">fcr_XN(D$10,$E$1,$K$1,$B15,$I$1,$B$5,$C$5,$B$3,$C$3,$D$3,$E$3,$F$3,$G$3,$H$3,$D$5,$E$5,$F$5,$G$5,$H$5,$B$7,$C$7,$D$7,$E$7,$G$7)</f>
        <v>0.19186850301238073</v>
      </c>
      <c r="E15" s="76" cm="1">
        <f t="array" ref="E15">fcr_XN(E$10,$E$1,$K$1,$B15,$I$1,$B$5,$C$5,$B$3,$C$3,$D$3,$E$3,$F$3,$G$3,$H$3,$D$5,$E$5,$F$5,$G$5,$H$5,$B$7,$C$7,$D$7,$E$7,$G$7)</f>
        <v>0.34011392020144887</v>
      </c>
      <c r="F15" s="76" cm="1">
        <f t="array" ref="F15">fcr_XN(F$10,$E$1,$K$1,$B15,$I$1,$B$5,$C$5,$B$3,$C$3,$D$3,$E$3,$F$3,$G$3,$H$3,$D$5,$E$5,$F$5,$G$5,$H$5,$B$7,$C$7,$D$7,$E$7,$G$7)</f>
        <v>0.55485879495595725</v>
      </c>
      <c r="G15" s="76" cm="1">
        <f t="array" ref="G15">fcr_XN(G$10,$E$1,$K$1,$B15,$I$1,$B$5,$C$5,$B$3,$C$3,$D$3,$E$3,$F$3,$G$3,$H$3,$D$5,$E$5,$F$5,$G$5,$H$5,$B$7,$C$7,$D$7,$E$7,$G$7)</f>
        <v>0.68859442749600275</v>
      </c>
      <c r="I15" s="76"/>
      <c r="J15" s="76"/>
      <c r="K15" s="76"/>
      <c r="L15" s="76"/>
      <c r="N15">
        <v>4.5</v>
      </c>
      <c r="O15" s="76" cm="1">
        <f t="array" ref="O15">fcr_XN($N15,$E$1,$K$1,O$9,$I$1,$B$5,$C$5,$B$3,$C$3,$D$3,$E$3,$F$3,$G$3,$H$3,$D$5,$E$5,$F$5,$G$5,$H$5,$B$7,$C$7,$D$7,$E$7,$G$7)</f>
        <v>0.20870325477535698</v>
      </c>
      <c r="P15" s="50"/>
      <c r="Q15" s="76"/>
      <c r="R15" s="50"/>
      <c r="S15" s="76"/>
      <c r="T15" s="50"/>
      <c r="U15" s="76"/>
      <c r="V15" s="50"/>
      <c r="W15" s="115"/>
      <c r="X15" s="115"/>
      <c r="Y15" s="115"/>
      <c r="Z15" s="12"/>
      <c r="AA15" s="115"/>
      <c r="AB15" s="12"/>
      <c r="AC15" s="12"/>
      <c r="AD15" s="115"/>
      <c r="AE15" s="115"/>
      <c r="AF15" s="115"/>
      <c r="AG15" s="115"/>
      <c r="AH15" s="115"/>
      <c r="AI15" s="115"/>
      <c r="AJ15" s="115"/>
      <c r="AK15" s="115"/>
      <c r="AL15" s="12"/>
      <c r="AM15" s="3"/>
      <c r="AN15" s="13"/>
      <c r="AO15" s="13"/>
      <c r="AP15" s="13"/>
      <c r="AQ15" s="17"/>
      <c r="AR15" s="17"/>
      <c r="AS15" s="17"/>
      <c r="BE15" s="17"/>
      <c r="BF15" s="17"/>
      <c r="BG15" s="17"/>
      <c r="BH15" s="27"/>
      <c r="BI15" s="28"/>
      <c r="BJ15" s="17"/>
      <c r="BK15" s="17"/>
      <c r="BL15" s="17"/>
      <c r="BQ15" s="13"/>
      <c r="BR15" s="13"/>
      <c r="BS15" s="13"/>
      <c r="BT15" s="13"/>
      <c r="BU15" s="13"/>
      <c r="BV15" s="13"/>
      <c r="CE15" s="17"/>
      <c r="CF15" s="17"/>
      <c r="CG15" s="17"/>
      <c r="CH15" s="27"/>
      <c r="CI15" s="28"/>
      <c r="CJ15" s="28"/>
      <c r="CK15" s="28"/>
      <c r="CL15" s="29"/>
      <c r="CM15" s="3"/>
      <c r="CN15" s="13"/>
      <c r="CO15" s="13"/>
      <c r="CP15" s="13"/>
      <c r="CQ15" s="13"/>
      <c r="CR15" s="13"/>
      <c r="CS15" s="13"/>
      <c r="CT15" s="13"/>
      <c r="CU15" s="13"/>
      <c r="CV15" s="13"/>
    </row>
    <row r="16" spans="1:102" x14ac:dyDescent="0.4">
      <c r="A16" s="73">
        <v>6</v>
      </c>
      <c r="B16" s="73">
        <v>10</v>
      </c>
      <c r="C16" s="76" cm="1">
        <f t="array" ref="C16">fcr_XN(C$10,$E$1,$K$1,$B16,$I$1,$B$5,$C$5,$B$3,$C$3,$D$3,$E$3,$F$3,$G$3,$H$3,$D$5,$E$5,$F$5,$G$5,$H$5,$B$7,$C$7,$D$7,$E$7,$G$7)</f>
        <v>6.8480256376735771E-2</v>
      </c>
      <c r="D16" s="76" cm="1">
        <f t="array" ref="D16">fcr_XN(D$10,$E$1,$K$1,$B16,$I$1,$B$5,$C$5,$B$3,$C$3,$D$3,$E$3,$F$3,$G$3,$H$3,$D$5,$E$5,$F$5,$G$5,$H$5,$B$7,$C$7,$D$7,$E$7,$G$7)</f>
        <v>0.12639696842073619</v>
      </c>
      <c r="E16" s="76" cm="1">
        <f t="array" ref="E16">fcr_XN(E$10,$E$1,$K$1,$B16,$I$1,$B$5,$C$5,$B$3,$C$3,$D$3,$E$3,$F$3,$G$3,$H$3,$D$5,$E$5,$F$5,$G$5,$H$5,$B$7,$C$7,$D$7,$E$7,$G$7)</f>
        <v>0.25212036472768912</v>
      </c>
      <c r="F16" s="76" cm="1">
        <f t="array" ref="F16">fcr_XN(F$10,$E$1,$K$1,$B16,$I$1,$B$5,$C$5,$B$3,$C$3,$D$3,$E$3,$F$3,$G$3,$H$3,$D$5,$E$5,$F$5,$G$5,$H$5,$B$7,$C$7,$D$7,$E$7,$G$7)</f>
        <v>0.46874843394412663</v>
      </c>
      <c r="G16" s="76" cm="1">
        <f t="array" ref="G16">fcr_XN(G$10,$E$1,$K$1,$B16,$I$1,$B$5,$C$5,$B$3,$C$3,$D$3,$E$3,$F$3,$G$3,$H$3,$D$5,$E$5,$F$5,$G$5,$H$5,$B$7,$C$7,$D$7,$E$7,$G$7)</f>
        <v>0.58880919289442313</v>
      </c>
      <c r="I16" s="76"/>
      <c r="J16" s="76"/>
      <c r="K16" s="76"/>
      <c r="L16" s="76"/>
      <c r="N16">
        <v>4.75</v>
      </c>
      <c r="O16" s="76" cm="1">
        <f t="array" ref="O16">fcr_XN($N16,$E$1,$K$1,O$9,$I$1,$B$5,$C$5,$B$3,$C$3,$D$3,$E$3,$F$3,$G$3,$H$3,$D$5,$E$5,$F$5,$G$5,$H$5,$B$7,$C$7,$D$7,$E$7,$G$7)</f>
        <v>0.23563556353337786</v>
      </c>
      <c r="P16" s="50"/>
      <c r="Q16" s="76"/>
      <c r="R16" s="50"/>
      <c r="S16" s="76"/>
      <c r="T16" s="50"/>
      <c r="U16" s="76"/>
      <c r="V16" s="50"/>
      <c r="W16" s="115"/>
      <c r="X16" s="115"/>
      <c r="Y16" s="115"/>
      <c r="Z16" s="12"/>
      <c r="AA16" s="115"/>
      <c r="AB16" s="12"/>
      <c r="AC16" s="12"/>
      <c r="AD16" s="115"/>
      <c r="AE16" s="115"/>
      <c r="AF16" s="115"/>
      <c r="AG16" s="115"/>
      <c r="AH16" s="115"/>
      <c r="AI16" s="115"/>
      <c r="AJ16" s="115"/>
      <c r="AK16" s="115"/>
      <c r="AL16" s="12"/>
      <c r="AM16" s="3"/>
      <c r="AN16" s="13"/>
      <c r="AO16" s="13"/>
      <c r="AP16" s="13"/>
      <c r="AQ16" s="17"/>
      <c r="AR16" s="17"/>
      <c r="AS16" s="17"/>
      <c r="BE16" s="17"/>
      <c r="BF16" s="17"/>
      <c r="BG16" s="17"/>
      <c r="BH16" s="27"/>
      <c r="BI16" s="28"/>
      <c r="BJ16" s="17"/>
      <c r="BK16" s="17"/>
      <c r="BL16" s="17"/>
      <c r="BQ16" s="13"/>
      <c r="BR16" s="13"/>
      <c r="BS16" s="13"/>
      <c r="BT16" s="13"/>
      <c r="BU16" s="13"/>
      <c r="BV16" s="13"/>
      <c r="CE16" s="17"/>
      <c r="CF16" s="17"/>
      <c r="CG16" s="17"/>
      <c r="CH16" s="27"/>
      <c r="CI16" s="28"/>
      <c r="CJ16" s="28"/>
      <c r="CK16" s="28"/>
      <c r="CL16" s="29"/>
      <c r="CM16" s="3"/>
      <c r="CN16" s="13"/>
      <c r="CO16" s="13"/>
      <c r="CP16" s="13"/>
      <c r="CQ16" s="13"/>
      <c r="CR16" s="13"/>
      <c r="CS16" s="13"/>
      <c r="CT16" s="13"/>
      <c r="CU16" s="13"/>
      <c r="CV16" s="13"/>
    </row>
    <row r="17" spans="1:100" x14ac:dyDescent="0.4">
      <c r="A17" s="73">
        <v>7</v>
      </c>
      <c r="B17" s="73">
        <v>12</v>
      </c>
      <c r="C17" s="76" cm="1">
        <f t="array" ref="C17">fcr_XN(C$10,$E$1,$K$1,$B17,$I$1,$B$5,$C$5,$B$3,$C$3,$D$3,$E$3,$F$3,$G$3,$H$3,$D$5,$E$5,$F$5,$G$5,$H$5,$B$7,$C$7,$D$7,$E$7,$G$7)</f>
        <v>5.1927604780135354E-2</v>
      </c>
      <c r="D17" s="76" cm="1">
        <f t="array" ref="D17">fcr_XN(D$10,$E$1,$K$1,$B17,$I$1,$B$5,$C$5,$B$3,$C$3,$D$3,$E$3,$F$3,$G$3,$H$3,$D$5,$E$5,$F$5,$G$5,$H$5,$B$7,$C$7,$D$7,$E$7,$G$7)</f>
        <v>9.9418569858086628E-2</v>
      </c>
      <c r="E17" s="76" cm="1">
        <f t="array" ref="E17">fcr_XN(E$10,$E$1,$K$1,$B17,$I$1,$B$5,$C$5,$B$3,$C$3,$D$3,$E$3,$F$3,$G$3,$H$3,$D$5,$E$5,$F$5,$G$5,$H$5,$B$7,$C$7,$D$7,$E$7,$G$7)</f>
        <v>0.21092003128961445</v>
      </c>
      <c r="F17" s="76" cm="1">
        <f t="array" ref="F17">fcr_XN(F$10,$E$1,$K$1,$B17,$I$1,$B$5,$C$5,$B$3,$C$3,$D$3,$E$3,$F$3,$G$3,$H$3,$D$5,$E$5,$F$5,$G$5,$H$5,$B$7,$C$7,$D$7,$E$7,$G$7)</f>
        <v>0.42208952478748923</v>
      </c>
      <c r="G17" s="76" cm="1">
        <f t="array" ref="G17">fcr_XN(G$10,$E$1,$K$1,$B17,$I$1,$B$5,$C$5,$B$3,$C$3,$D$3,$E$3,$F$3,$G$3,$H$3,$D$5,$E$5,$F$5,$G$5,$H$5,$B$7,$C$7,$D$7,$E$7,$G$7)</f>
        <v>0.5339995973013707</v>
      </c>
      <c r="I17" s="76"/>
      <c r="J17" s="76"/>
      <c r="K17" s="76"/>
      <c r="L17" s="76"/>
      <c r="N17">
        <v>5</v>
      </c>
      <c r="O17" s="76" cm="1">
        <f t="array" ref="O17">fcr_XN($N17,$E$1,$K$1,O$9,$I$1,$B$5,$C$5,$B$3,$C$3,$D$3,$E$3,$F$3,$G$3,$H$3,$D$5,$E$5,$F$5,$G$5,$H$5,$B$7,$C$7,$D$7,$E$7,$G$7)</f>
        <v>0.26669119054385981</v>
      </c>
      <c r="P17" s="50"/>
      <c r="Q17" s="76"/>
      <c r="R17" s="50"/>
      <c r="S17" s="76"/>
      <c r="T17" s="50"/>
      <c r="U17" s="76"/>
      <c r="V17" s="50"/>
      <c r="W17" s="115"/>
      <c r="X17" s="115"/>
      <c r="Y17" s="115"/>
      <c r="Z17" s="12"/>
      <c r="AA17" s="115"/>
      <c r="AB17" s="12"/>
      <c r="AC17" s="12"/>
      <c r="AD17" s="115"/>
      <c r="AE17" s="115"/>
      <c r="AF17" s="115"/>
      <c r="AG17" s="115"/>
      <c r="AH17" s="115"/>
      <c r="AI17" s="115"/>
      <c r="AJ17" s="115"/>
      <c r="AK17" s="115"/>
      <c r="AL17" s="12"/>
      <c r="AM17" s="3"/>
      <c r="AN17" s="13"/>
      <c r="AO17" s="13"/>
      <c r="AP17" s="13"/>
      <c r="AQ17" s="17"/>
      <c r="AR17" s="17"/>
      <c r="AS17" s="17"/>
      <c r="BE17" s="17"/>
      <c r="BF17" s="17"/>
      <c r="BG17" s="17"/>
      <c r="BH17" s="27"/>
      <c r="BI17" s="28"/>
      <c r="BJ17" s="17"/>
      <c r="BK17" s="17"/>
      <c r="BL17" s="17"/>
      <c r="BQ17" s="13"/>
      <c r="BR17" s="13"/>
      <c r="BS17" s="13"/>
      <c r="BT17" s="13"/>
      <c r="BU17" s="13"/>
      <c r="BV17" s="13"/>
      <c r="CE17" s="17"/>
      <c r="CF17" s="17"/>
      <c r="CG17" s="17"/>
      <c r="CH17" s="27"/>
      <c r="CI17" s="28"/>
      <c r="CJ17" s="28"/>
      <c r="CK17" s="28"/>
      <c r="CL17" s="29"/>
      <c r="CM17" s="3"/>
      <c r="CN17" s="13"/>
      <c r="CO17" s="13"/>
      <c r="CP17" s="13"/>
      <c r="CQ17" s="13"/>
      <c r="CR17" s="13"/>
      <c r="CS17" s="13"/>
      <c r="CT17" s="13"/>
      <c r="CU17" s="13"/>
      <c r="CV17" s="13"/>
    </row>
    <row r="18" spans="1:100" x14ac:dyDescent="0.4">
      <c r="A18" s="73">
        <v>8</v>
      </c>
      <c r="B18" s="73">
        <v>15</v>
      </c>
      <c r="C18" s="76" cm="1">
        <f t="array" ref="C18">fcr_XN(C$10,$E$1,$K$1,$B18,$I$1,$B$5,$C$5,$B$3,$C$3,$D$3,$E$3,$F$3,$G$3,$H$3,$D$5,$E$5,$F$5,$G$5,$H$5,$B$7,$C$7,$D$7,$E$7,$G$7)</f>
        <v>3.6245405573006644E-2</v>
      </c>
      <c r="D18" s="76" cm="1">
        <f t="array" ref="D18">fcr_XN(D$10,$E$1,$K$1,$B18,$I$1,$B$5,$C$5,$B$3,$C$3,$D$3,$E$3,$F$3,$G$3,$H$3,$D$5,$E$5,$F$5,$G$5,$H$5,$B$7,$C$7,$D$7,$E$7,$G$7)</f>
        <v>7.2400908863312047E-2</v>
      </c>
      <c r="E18" s="76" cm="1">
        <f t="array" ref="E18">fcr_XN(E$10,$E$1,$K$1,$B18,$I$1,$B$5,$C$5,$B$3,$C$3,$D$3,$E$3,$F$3,$G$3,$H$3,$D$5,$E$5,$F$5,$G$5,$H$5,$B$7,$C$7,$D$7,$E$7,$G$7)</f>
        <v>0.16554288236314488</v>
      </c>
      <c r="F18" s="76" cm="1">
        <f t="array" ref="F18">fcr_XN(F$10,$E$1,$K$1,$B18,$I$1,$B$5,$C$5,$B$3,$C$3,$D$3,$E$3,$F$3,$G$3,$H$3,$D$5,$E$5,$F$5,$G$5,$H$5,$B$7,$C$7,$D$7,$E$7,$G$7)</f>
        <v>0.36423471458138751</v>
      </c>
      <c r="G18" s="76" cm="1">
        <f t="array" ref="G18">fcr_XN(G$10,$E$1,$K$1,$B18,$I$1,$B$5,$C$5,$B$3,$C$3,$D$3,$E$3,$F$3,$G$3,$H$3,$D$5,$E$5,$F$5,$G$5,$H$5,$B$7,$C$7,$D$7,$E$7,$G$7)</f>
        <v>0.46523989526872761</v>
      </c>
      <c r="I18" s="76"/>
      <c r="J18" s="76"/>
      <c r="K18" s="76"/>
      <c r="L18" s="76"/>
      <c r="N18">
        <v>5.25</v>
      </c>
      <c r="O18" s="76" cm="1">
        <f t="array" ref="O18">fcr_XN($N18,$E$1,$K$1,O$9,$I$1,$B$5,$C$5,$B$3,$C$3,$D$3,$E$3,$F$3,$G$3,$H$3,$D$5,$E$5,$F$5,$G$5,$H$5,$B$7,$C$7,$D$7,$E$7,$G$7)</f>
        <v>0.30171333690368413</v>
      </c>
      <c r="P18" s="50"/>
      <c r="Q18" s="76"/>
      <c r="R18" s="50"/>
      <c r="S18" s="76"/>
      <c r="T18" s="50"/>
      <c r="U18" s="76"/>
      <c r="V18" s="50"/>
      <c r="W18" s="115"/>
      <c r="X18" s="115"/>
      <c r="Y18" s="115"/>
      <c r="Z18" s="12"/>
      <c r="AA18" s="115"/>
      <c r="AB18" s="12"/>
      <c r="AC18" s="12"/>
      <c r="AD18" s="115"/>
      <c r="AE18" s="115"/>
      <c r="AF18" s="115"/>
      <c r="AG18" s="115"/>
      <c r="AH18" s="115"/>
      <c r="AI18" s="115"/>
      <c r="AJ18" s="115"/>
      <c r="AK18" s="115"/>
      <c r="AL18" s="12"/>
      <c r="AM18" s="3"/>
      <c r="AN18" s="13"/>
      <c r="AO18" s="13"/>
      <c r="AP18" s="13"/>
      <c r="AQ18" s="17"/>
      <c r="AR18" s="17"/>
      <c r="AS18" s="17"/>
      <c r="BE18" s="17"/>
      <c r="BF18" s="17"/>
      <c r="BG18" s="17"/>
      <c r="BH18" s="27"/>
      <c r="BI18" s="28"/>
      <c r="BJ18" s="17"/>
      <c r="BK18" s="17"/>
      <c r="BL18" s="17"/>
      <c r="BQ18" s="13"/>
      <c r="BR18" s="13"/>
      <c r="BS18" s="13"/>
      <c r="BT18" s="13"/>
      <c r="BU18" s="13"/>
      <c r="BV18" s="13"/>
      <c r="CE18" s="17"/>
      <c r="CF18" s="17"/>
      <c r="CG18" s="17"/>
      <c r="CH18" s="27"/>
      <c r="CI18" s="28"/>
      <c r="CJ18" s="28"/>
      <c r="CK18" s="28"/>
      <c r="CL18" s="29"/>
      <c r="CM18" s="3"/>
      <c r="CN18" s="13"/>
      <c r="CO18" s="13"/>
      <c r="CP18" s="13"/>
      <c r="CQ18" s="13"/>
      <c r="CR18" s="13"/>
      <c r="CS18" s="13"/>
      <c r="CT18" s="13"/>
      <c r="CU18" s="13"/>
      <c r="CV18" s="13"/>
    </row>
    <row r="19" spans="1:100" x14ac:dyDescent="0.4">
      <c r="A19" s="73">
        <v>9</v>
      </c>
      <c r="B19" s="73">
        <v>17</v>
      </c>
      <c r="C19" s="76" cm="1">
        <f t="array" ref="C19">fcr_XN(C$10,$E$1,$K$1,$B19,$I$1,$B$5,$C$5,$B$3,$C$3,$D$3,$E$3,$F$3,$G$3,$H$3,$D$5,$E$5,$F$5,$G$5,$H$5,$B$7,$C$7,$D$7,$E$7,$G$7)</f>
        <v>2.9358611302767366E-2</v>
      </c>
      <c r="D19" s="76" cm="1">
        <f t="array" ref="D19">fcr_XN(D$10,$E$1,$K$1,$B19,$I$1,$B$5,$C$5,$B$3,$C$3,$D$3,$E$3,$F$3,$G$3,$H$3,$D$5,$E$5,$F$5,$G$5,$H$5,$B$7,$C$7,$D$7,$E$7,$G$7)</f>
        <v>5.9969193802760355E-2</v>
      </c>
      <c r="E19" s="76" cm="1">
        <f t="array" ref="E19">fcr_XN(E$10,$E$1,$K$1,$B19,$I$1,$B$5,$C$5,$B$3,$C$3,$D$3,$E$3,$F$3,$G$3,$H$3,$D$5,$E$5,$F$5,$G$5,$H$5,$B$7,$C$7,$D$7,$E$7,$G$7)</f>
        <v>0.14286874822590226</v>
      </c>
      <c r="F19" s="76" cm="1">
        <f t="array" ref="F19">fcr_XN(F$10,$E$1,$K$1,$B19,$I$1,$B$5,$C$5,$B$3,$C$3,$D$3,$E$3,$F$3,$G$3,$H$3,$D$5,$E$5,$F$5,$G$5,$H$5,$B$7,$C$7,$D$7,$E$7,$G$7)</f>
        <v>0.33207369729369984</v>
      </c>
      <c r="G19" s="76" cm="1">
        <f t="array" ref="G19">fcr_XN(G$10,$E$1,$K$1,$B19,$I$1,$B$5,$C$5,$B$3,$C$3,$D$3,$E$3,$F$3,$G$3,$H$3,$D$5,$E$5,$F$5,$G$5,$H$5,$B$7,$C$7,$D$7,$E$7,$G$7)</f>
        <v>0.42660248057500749</v>
      </c>
      <c r="I19" s="76"/>
      <c r="J19" s="76"/>
      <c r="K19" s="76"/>
      <c r="L19" s="76"/>
      <c r="N19">
        <v>5.5</v>
      </c>
      <c r="O19" s="76" cm="1">
        <f t="array" ref="O19">fcr_XN($N19,$E$1,$K$1,O$9,$I$1,$B$5,$C$5,$B$3,$C$3,$D$3,$E$3,$F$3,$G$3,$H$3,$D$5,$E$5,$F$5,$G$5,$H$5,$B$7,$C$7,$D$7,$E$7,$G$7)</f>
        <v>0.34034120405222223</v>
      </c>
      <c r="P19" s="50"/>
      <c r="Q19" s="76"/>
      <c r="R19" s="50"/>
      <c r="S19" s="76"/>
      <c r="T19" s="50"/>
      <c r="U19" s="76"/>
      <c r="V19" s="50"/>
      <c r="W19" s="115"/>
      <c r="X19" s="115"/>
      <c r="Y19" s="115"/>
      <c r="Z19" s="12"/>
      <c r="AA19" s="115"/>
      <c r="AB19" s="12"/>
      <c r="AC19" s="12"/>
      <c r="AD19" s="115"/>
      <c r="AE19" s="115"/>
      <c r="AF19" s="115"/>
      <c r="AG19" s="115"/>
      <c r="AH19" s="115"/>
      <c r="AI19" s="115"/>
      <c r="AJ19" s="115"/>
      <c r="AK19" s="115"/>
      <c r="AL19" s="12"/>
      <c r="AM19" s="3"/>
      <c r="AN19" s="13"/>
      <c r="AO19" s="13"/>
      <c r="AP19" s="13"/>
      <c r="AQ19" s="17"/>
      <c r="AR19" s="17"/>
      <c r="AS19" s="17"/>
      <c r="BE19" s="17"/>
      <c r="BF19" s="17"/>
      <c r="BG19" s="17"/>
      <c r="BH19" s="27"/>
      <c r="BI19" s="28"/>
      <c r="BJ19" s="17"/>
      <c r="BK19" s="17"/>
      <c r="BL19" s="17"/>
      <c r="BQ19" s="13"/>
      <c r="BR19" s="13"/>
      <c r="BS19" s="13"/>
      <c r="BT19" s="13"/>
      <c r="BU19" s="13"/>
      <c r="BV19" s="13"/>
      <c r="CE19" s="17"/>
      <c r="CF19" s="17"/>
      <c r="CG19" s="17"/>
      <c r="CH19" s="27"/>
      <c r="CI19" s="28"/>
      <c r="CJ19" s="28"/>
      <c r="CK19" s="28"/>
      <c r="CL19" s="29"/>
      <c r="CM19" s="3"/>
      <c r="CN19" s="13"/>
      <c r="CO19" s="13"/>
      <c r="CP19" s="13"/>
      <c r="CQ19" s="13"/>
      <c r="CR19" s="13"/>
      <c r="CS19" s="13"/>
      <c r="CT19" s="13"/>
      <c r="CU19" s="13"/>
      <c r="CV19" s="13"/>
    </row>
    <row r="20" spans="1:100" x14ac:dyDescent="0.4">
      <c r="A20" s="73">
        <v>10</v>
      </c>
      <c r="B20" s="73">
        <v>20</v>
      </c>
      <c r="C20" s="76" cm="1">
        <f t="array" ref="C20">fcr_XN(C$10,$E$1,$K$1,$B20,$I$1,$B$5,$C$5,$B$3,$C$3,$D$3,$E$3,$F$3,$G$3,$H$3,$D$5,$E$5,$F$5,$G$5,$H$5,$B$7,$C$7,$D$7,$E$7,$G$7)</f>
        <v>2.2139908184859662E-2</v>
      </c>
      <c r="D20" s="76" cm="1">
        <f t="array" ref="D20">fcr_XN(D$10,$E$1,$K$1,$B20,$I$1,$B$5,$C$5,$B$3,$C$3,$D$3,$E$3,$F$3,$G$3,$H$3,$D$5,$E$5,$F$5,$G$5,$H$5,$B$7,$C$7,$D$7,$E$7,$G$7)</f>
        <v>4.6471410178502648E-2</v>
      </c>
      <c r="E20" s="76" cm="1">
        <f t="array" ref="E20">fcr_XN(E$10,$E$1,$K$1,$B20,$I$1,$B$5,$C$5,$B$3,$C$3,$D$3,$E$3,$F$3,$G$3,$H$3,$D$5,$E$5,$F$5,$G$5,$H$5,$B$7,$C$7,$D$7,$E$7,$G$7)</f>
        <v>0.11659262612465406</v>
      </c>
      <c r="F20" s="76" cm="1">
        <f t="array" ref="F20">fcr_XN(F$10,$E$1,$K$1,$B20,$I$1,$B$5,$C$5,$B$3,$C$3,$D$3,$E$3,$F$3,$G$3,$H$3,$D$5,$E$5,$F$5,$G$5,$H$5,$B$7,$C$7,$D$7,$E$7,$G$7)</f>
        <v>0.29131422115458633</v>
      </c>
      <c r="G20" s="76" cm="1">
        <f t="array" ref="G20">fcr_XN(G$10,$E$1,$K$1,$B20,$I$1,$B$5,$C$5,$B$3,$C$3,$D$3,$E$3,$F$3,$G$3,$H$3,$D$5,$E$5,$F$5,$G$5,$H$5,$B$7,$C$7,$D$7,$E$7,$G$7)</f>
        <v>0.37717085189589272</v>
      </c>
      <c r="I20" s="76"/>
      <c r="J20" s="76"/>
      <c r="K20" s="76"/>
      <c r="L20" s="76"/>
      <c r="N20">
        <v>5.75</v>
      </c>
      <c r="O20" s="76" cm="1">
        <f t="array" ref="O20">fcr_XN($N20,$E$1,$K$1,O$9,$I$1,$B$5,$C$5,$B$3,$C$3,$D$3,$E$3,$F$3,$G$3,$H$3,$D$5,$E$5,$F$5,$G$5,$H$5,$B$7,$C$7,$D$7,$E$7,$G$7)</f>
        <v>0.38205875556746866</v>
      </c>
      <c r="P20" s="50"/>
      <c r="Q20" s="76"/>
      <c r="R20" s="50"/>
      <c r="S20" s="76"/>
      <c r="T20" s="50"/>
      <c r="U20" s="76"/>
      <c r="V20" s="50"/>
      <c r="W20" s="115"/>
      <c r="X20" s="115"/>
      <c r="Y20" s="115"/>
      <c r="Z20" s="12"/>
      <c r="AA20" s="115"/>
      <c r="AB20" s="12"/>
      <c r="AC20" s="12"/>
      <c r="AD20" s="115"/>
      <c r="AE20" s="115"/>
      <c r="AF20" s="115"/>
      <c r="AG20" s="115"/>
      <c r="AH20" s="115"/>
      <c r="AI20" s="115"/>
      <c r="AJ20" s="115"/>
      <c r="AK20" s="115"/>
      <c r="AL20" s="12"/>
      <c r="AM20" s="3"/>
      <c r="AN20" s="13"/>
      <c r="AO20" s="13"/>
      <c r="AP20" s="13"/>
      <c r="AQ20" s="17"/>
      <c r="AR20" s="17"/>
      <c r="AS20" s="17"/>
      <c r="BE20" s="17"/>
      <c r="BF20" s="17"/>
      <c r="BG20" s="17"/>
      <c r="BH20" s="27"/>
      <c r="BI20" s="28"/>
      <c r="BJ20" s="17"/>
      <c r="BK20" s="17"/>
      <c r="BL20" s="17"/>
      <c r="BQ20" s="13"/>
      <c r="BR20" s="13"/>
      <c r="BS20" s="13"/>
      <c r="BT20" s="13"/>
      <c r="BU20" s="13"/>
      <c r="BV20" s="13"/>
      <c r="CE20" s="17"/>
      <c r="CF20" s="17"/>
      <c r="CG20" s="17"/>
      <c r="CH20" s="27"/>
      <c r="CI20" s="28"/>
      <c r="CJ20" s="28"/>
      <c r="CK20" s="28"/>
      <c r="CL20" s="29"/>
      <c r="CM20" s="3"/>
      <c r="CN20" s="13"/>
      <c r="CO20" s="13"/>
      <c r="CP20" s="13"/>
      <c r="CQ20" s="13"/>
      <c r="CR20" s="13"/>
      <c r="CS20" s="13"/>
      <c r="CT20" s="13"/>
      <c r="CU20" s="13"/>
      <c r="CV20" s="13"/>
    </row>
    <row r="21" spans="1:100" x14ac:dyDescent="0.4">
      <c r="A21" s="73">
        <v>11</v>
      </c>
      <c r="B21" s="73">
        <v>22</v>
      </c>
      <c r="C21" s="76" cm="1">
        <f t="array" ref="C21">fcr_XN(C$10,$E$1,$K$1,$B21,$I$1,$B$5,$C$5,$B$3,$C$3,$D$3,$E$3,$F$3,$G$3,$H$3,$D$5,$E$5,$F$5,$G$5,$H$5,$B$7,$C$7,$D$7,$E$7,$G$7)</f>
        <v>1.8687003280595513E-2</v>
      </c>
      <c r="D21" s="76" cm="1">
        <f t="array" ref="D21">fcr_XN(D$10,$E$1,$K$1,$B21,$I$1,$B$5,$C$5,$B$3,$C$3,$D$3,$E$3,$F$3,$G$3,$H$3,$D$5,$E$5,$F$5,$G$5,$H$5,$B$7,$C$7,$D$7,$E$7,$G$7)</f>
        <v>3.9814644305687361E-2</v>
      </c>
      <c r="E21" s="76" cm="1">
        <f t="array" ref="E21">fcr_XN(E$10,$E$1,$K$1,$B21,$I$1,$B$5,$C$5,$B$3,$C$3,$D$3,$E$3,$F$3,$G$3,$H$3,$D$5,$E$5,$F$5,$G$5,$H$5,$B$7,$C$7,$D$7,$E$7,$G$7)</f>
        <v>0.10286087816645773</v>
      </c>
      <c r="F21" s="76" cm="1">
        <f t="array" ref="F21">fcr_XN(F$10,$E$1,$K$1,$B21,$I$1,$B$5,$C$5,$B$3,$C$3,$D$3,$E$3,$F$3,$G$3,$H$3,$D$5,$E$5,$F$5,$G$5,$H$5,$B$7,$C$7,$D$7,$E$7,$G$7)</f>
        <v>0.26819717469343507</v>
      </c>
      <c r="G21" s="76" cm="1">
        <f t="array" ref="G21">fcr_XN(G$10,$E$1,$K$1,$B21,$I$1,$B$5,$C$5,$B$3,$C$3,$D$3,$E$3,$F$3,$G$3,$H$3,$D$5,$E$5,$F$5,$G$5,$H$5,$B$7,$C$7,$D$7,$E$7,$G$7)</f>
        <v>0.34888747719409546</v>
      </c>
      <c r="I21" s="76"/>
      <c r="J21" s="76"/>
      <c r="K21" s="76"/>
      <c r="L21" s="76"/>
      <c r="N21">
        <v>6</v>
      </c>
      <c r="O21" s="76" cm="1">
        <f t="array" ref="O21">fcr_XN($N21,$E$1,$K$1,O$9,$I$1,$B$5,$C$5,$B$3,$C$3,$D$3,$E$3,$F$3,$G$3,$H$3,$D$5,$E$5,$F$5,$G$5,$H$5,$B$7,$C$7,$D$7,$E$7,$G$7)</f>
        <v>0.4263111908939497</v>
      </c>
      <c r="P21" s="50"/>
      <c r="Q21" s="76"/>
      <c r="R21" s="50"/>
      <c r="S21" s="76"/>
      <c r="T21" s="50"/>
      <c r="U21" s="76"/>
      <c r="V21" s="50"/>
      <c r="W21" s="115"/>
      <c r="X21" s="115"/>
      <c r="Y21" s="115"/>
      <c r="Z21" s="12"/>
      <c r="AA21" s="115"/>
      <c r="AB21" s="12"/>
      <c r="AC21" s="12"/>
      <c r="AD21" s="115"/>
      <c r="AE21" s="115"/>
      <c r="AF21" s="115"/>
      <c r="AG21" s="115"/>
      <c r="AH21" s="115"/>
      <c r="AI21" s="115"/>
      <c r="AJ21" s="115"/>
      <c r="AK21" s="115"/>
      <c r="AL21" s="12"/>
      <c r="AM21" s="3"/>
      <c r="AN21" s="13"/>
      <c r="AO21" s="13"/>
      <c r="AP21" s="13"/>
      <c r="AQ21" s="17"/>
      <c r="AR21" s="17"/>
      <c r="AS21" s="17"/>
      <c r="BE21" s="17"/>
      <c r="BF21" s="17"/>
      <c r="BG21" s="17"/>
      <c r="BH21" s="27"/>
      <c r="BI21" s="28"/>
      <c r="BJ21" s="17"/>
      <c r="BK21" s="17"/>
      <c r="BL21" s="17"/>
      <c r="BQ21" s="13"/>
      <c r="BR21" s="13"/>
      <c r="BS21" s="13"/>
      <c r="BT21" s="13"/>
      <c r="BU21" s="13"/>
      <c r="BV21" s="13"/>
      <c r="CE21" s="17"/>
      <c r="CF21" s="17"/>
      <c r="CG21" s="17"/>
      <c r="CH21" s="27"/>
      <c r="CI21" s="28"/>
      <c r="CJ21" s="28"/>
      <c r="CK21" s="28"/>
      <c r="CL21" s="29"/>
      <c r="CM21" s="3"/>
      <c r="CN21" s="13"/>
      <c r="CO21" s="13"/>
      <c r="CP21" s="13"/>
      <c r="CQ21" s="13"/>
      <c r="CR21" s="13"/>
      <c r="CS21" s="13"/>
      <c r="CT21" s="13"/>
      <c r="CU21" s="13"/>
      <c r="CV21" s="13"/>
    </row>
    <row r="22" spans="1:100" x14ac:dyDescent="0.4">
      <c r="A22" s="73">
        <v>12</v>
      </c>
      <c r="B22" s="73">
        <v>26</v>
      </c>
      <c r="C22" s="76" cm="1">
        <f t="array" ref="C22">fcr_XN(C$10,$E$1,$K$1,$B22,$I$1,$B$5,$C$5,$B$3,$C$3,$D$3,$E$3,$F$3,$G$3,$H$3,$D$5,$E$5,$F$5,$G$5,$H$5,$B$7,$C$7,$D$7,$E$7,$G$7)</f>
        <v>1.3795110578352275E-2</v>
      </c>
      <c r="D22" s="76" cm="1">
        <f t="array" ref="D22">fcr_XN(D$10,$E$1,$K$1,$B22,$I$1,$B$5,$C$5,$B$3,$C$3,$D$3,$E$3,$F$3,$G$3,$H$3,$D$5,$E$5,$F$5,$G$5,$H$5,$B$7,$C$7,$D$7,$E$7,$G$7)</f>
        <v>3.0116133559806472E-2</v>
      </c>
      <c r="E22" s="76" cm="1">
        <f t="array" ref="E22">fcr_XN(E$10,$E$1,$K$1,$B22,$I$1,$B$5,$C$5,$B$3,$C$3,$D$3,$E$3,$F$3,$G$3,$H$3,$D$5,$E$5,$F$5,$G$5,$H$5,$B$7,$C$7,$D$7,$E$7,$G$7)</f>
        <v>8.1718816284961179E-2</v>
      </c>
      <c r="F22" s="76" cm="1">
        <f t="array" ref="F22">fcr_XN(F$10,$E$1,$K$1,$B22,$I$1,$B$5,$C$5,$B$3,$C$3,$D$3,$E$3,$F$3,$G$3,$H$3,$D$5,$E$5,$F$5,$G$5,$H$5,$B$7,$C$7,$D$7,$E$7,$G$7)</f>
        <v>0.22955019676055127</v>
      </c>
      <c r="G22" s="76" cm="1">
        <f t="array" ref="G22">fcr_XN(G$10,$E$1,$K$1,$B22,$I$1,$B$5,$C$5,$B$3,$C$3,$D$3,$E$3,$F$3,$G$3,$H$3,$D$5,$E$5,$F$5,$G$5,$H$5,$B$7,$C$7,$D$7,$E$7,$G$7)</f>
        <v>0.30116662196462501</v>
      </c>
      <c r="I22" s="76"/>
      <c r="J22" s="76"/>
      <c r="K22" s="76"/>
      <c r="L22" s="76"/>
      <c r="N22">
        <v>6.25</v>
      </c>
      <c r="O22" s="76" cm="1">
        <f t="array" ref="O22">fcr_XN($N22,$E$1,$K$1,O$9,$I$1,$B$5,$C$5,$B$3,$C$3,$D$3,$E$3,$F$3,$G$3,$H$3,$D$5,$E$5,$F$5,$G$5,$H$5,$B$7,$C$7,$D$7,$E$7,$G$7)</f>
        <v>0.47267777072783446</v>
      </c>
      <c r="P22" s="50"/>
      <c r="Q22" s="76"/>
      <c r="R22" s="50"/>
      <c r="S22" s="76"/>
      <c r="T22" s="50"/>
      <c r="U22" s="76"/>
      <c r="V22" s="50"/>
      <c r="W22" s="115"/>
      <c r="X22" s="115"/>
      <c r="Y22" s="115"/>
      <c r="Z22" s="12"/>
      <c r="AA22" s="115"/>
      <c r="AB22" s="12"/>
      <c r="AC22" s="12"/>
      <c r="AD22" s="115"/>
      <c r="AE22" s="115"/>
      <c r="AF22" s="115"/>
      <c r="AG22" s="115"/>
      <c r="AH22" s="115"/>
      <c r="AI22" s="115"/>
      <c r="AJ22" s="115"/>
      <c r="AK22" s="115"/>
      <c r="AL22" s="12"/>
      <c r="AM22" s="3"/>
      <c r="AN22" s="13"/>
      <c r="AO22" s="13"/>
      <c r="AP22" s="13"/>
      <c r="AQ22" s="17"/>
      <c r="AR22" s="17"/>
      <c r="AS22" s="17"/>
      <c r="BE22" s="17"/>
      <c r="BF22" s="17"/>
      <c r="BG22" s="17"/>
      <c r="BH22" s="27"/>
      <c r="BI22" s="28"/>
      <c r="BJ22" s="17"/>
      <c r="BK22" s="17"/>
      <c r="BL22" s="17"/>
      <c r="BQ22" s="13"/>
      <c r="BR22" s="13"/>
      <c r="BS22" s="13"/>
      <c r="BT22" s="13"/>
      <c r="BU22" s="13"/>
      <c r="BV22" s="13"/>
      <c r="CE22" s="17"/>
      <c r="CF22" s="17"/>
      <c r="CG22" s="17"/>
      <c r="CH22" s="27"/>
      <c r="CI22" s="28"/>
      <c r="CJ22" s="28"/>
      <c r="CK22" s="28"/>
      <c r="CL22" s="29"/>
      <c r="CM22" s="3"/>
      <c r="CN22" s="13"/>
      <c r="CO22" s="13"/>
      <c r="CP22" s="13"/>
      <c r="CQ22" s="13"/>
      <c r="CR22" s="13"/>
      <c r="CS22" s="13"/>
      <c r="CT22" s="13"/>
      <c r="CU22" s="13"/>
      <c r="CV22" s="13"/>
    </row>
    <row r="23" spans="1:100" x14ac:dyDescent="0.4">
      <c r="A23" s="73">
        <v>13</v>
      </c>
      <c r="B23" s="73">
        <v>30</v>
      </c>
      <c r="C23" s="76" cm="1">
        <f t="array" ref="C23">fcr_XN(C$10,$E$1,$K$1,$B23,$I$1,$B$5,$C$5,$B$3,$C$3,$D$3,$E$3,$F$3,$G$3,$H$3,$D$5,$E$5,$F$5,$G$5,$H$5,$B$7,$C$7,$D$7,$E$7,$G$7)</f>
        <v>1.0577604110283838E-2</v>
      </c>
      <c r="D23" s="76" cm="1">
        <f t="array" ref="D23">fcr_XN(D$10,$E$1,$K$1,$B23,$I$1,$B$5,$C$5,$B$3,$C$3,$D$3,$E$3,$F$3,$G$3,$H$3,$D$5,$E$5,$F$5,$G$5,$H$5,$B$7,$C$7,$D$7,$E$7,$G$7)</f>
        <v>2.3533645758313015E-2</v>
      </c>
      <c r="E23" s="76" cm="1">
        <f t="array" ref="E23">fcr_XN(E$10,$E$1,$K$1,$B23,$I$1,$B$5,$C$5,$B$3,$C$3,$D$3,$E$3,$F$3,$G$3,$H$3,$D$5,$E$5,$F$5,$G$5,$H$5,$B$7,$C$7,$D$7,$E$7,$G$7)</f>
        <v>6.6427454760758523E-2</v>
      </c>
      <c r="F23" s="76" cm="1">
        <f t="array" ref="F23">fcr_XN(F$10,$E$1,$K$1,$B23,$I$1,$B$5,$C$5,$B$3,$C$3,$D$3,$E$3,$F$3,$G$3,$H$3,$D$5,$E$5,$F$5,$G$5,$H$5,$B$7,$C$7,$D$7,$E$7,$G$7)</f>
        <v>0.19872176006934308</v>
      </c>
      <c r="G23" s="76" cm="1">
        <f t="array" ref="G23">fcr_XN(G$10,$E$1,$K$1,$B23,$I$1,$B$5,$C$5,$B$3,$C$3,$D$3,$E$3,$F$3,$G$3,$H$3,$D$5,$E$5,$F$5,$G$5,$H$5,$B$7,$C$7,$D$7,$E$7,$G$7)</f>
        <v>0.2626714970403185</v>
      </c>
      <c r="I23" s="76"/>
      <c r="J23" s="76"/>
      <c r="K23" s="76"/>
      <c r="L23" s="76"/>
      <c r="N23">
        <v>6.5</v>
      </c>
      <c r="O23" s="76" cm="1">
        <f t="array" ref="O23">fcr_XN($N23,$E$1,$K$1,O$9,$I$1,$B$5,$C$5,$B$3,$C$3,$D$3,$E$3,$F$3,$G$3,$H$3,$D$5,$E$5,$F$5,$G$5,$H$5,$B$7,$C$7,$D$7,$E$7,$G$7)</f>
        <v>0.52106937483560078</v>
      </c>
      <c r="P23" s="50"/>
      <c r="Q23" s="76"/>
      <c r="R23" s="50"/>
      <c r="S23" s="76"/>
      <c r="T23" s="50"/>
      <c r="U23" s="76"/>
      <c r="V23" s="50"/>
      <c r="W23" s="115"/>
      <c r="X23" s="115"/>
      <c r="Y23" s="115"/>
      <c r="Z23" s="12"/>
      <c r="AA23" s="115"/>
      <c r="AB23" s="12"/>
      <c r="AC23" s="12"/>
      <c r="AD23" s="115"/>
      <c r="AE23" s="115"/>
      <c r="AF23" s="115"/>
      <c r="AG23" s="115"/>
      <c r="AH23" s="115"/>
      <c r="AI23" s="115"/>
      <c r="AJ23" s="115"/>
      <c r="AK23" s="115"/>
      <c r="AL23" s="12"/>
      <c r="AM23" s="3"/>
      <c r="AN23" s="13"/>
      <c r="AO23" s="13"/>
      <c r="AP23" s="13"/>
      <c r="AQ23" s="17"/>
      <c r="AR23" s="17"/>
      <c r="AS23" s="17"/>
      <c r="BE23" s="17"/>
      <c r="BF23" s="17"/>
      <c r="BG23" s="17"/>
      <c r="BH23" s="27"/>
      <c r="BI23" s="28"/>
      <c r="BJ23" s="17"/>
      <c r="BK23" s="17"/>
      <c r="BL23" s="17"/>
      <c r="BQ23" s="13"/>
      <c r="BR23" s="13"/>
      <c r="BS23" s="13"/>
      <c r="BT23" s="13"/>
      <c r="BU23" s="13"/>
      <c r="BV23" s="13"/>
      <c r="CE23" s="17"/>
      <c r="CF23" s="17"/>
      <c r="CG23" s="17"/>
      <c r="CH23" s="27"/>
      <c r="CI23" s="28"/>
      <c r="CJ23" s="28"/>
      <c r="CK23" s="28"/>
      <c r="CL23" s="29"/>
      <c r="CM23" s="3"/>
      <c r="CN23" s="13"/>
      <c r="CO23" s="13"/>
      <c r="CP23" s="13"/>
      <c r="CQ23" s="13"/>
      <c r="CR23" s="13"/>
      <c r="CS23" s="13"/>
      <c r="CT23" s="13"/>
      <c r="CU23" s="13"/>
      <c r="CV23" s="13"/>
    </row>
    <row r="24" spans="1:100" x14ac:dyDescent="0.4">
      <c r="A24" s="73">
        <v>14</v>
      </c>
      <c r="B24" s="73">
        <v>36</v>
      </c>
      <c r="C24" s="76" cm="1">
        <f t="array" ref="C24">fcr_XN(C$10,$E$1,$K$1,$B24,$I$1,$B$5,$C$5,$B$3,$C$3,$D$3,$E$3,$F$3,$G$3,$H$3,$D$5,$E$5,$F$5,$G$5,$H$5,$B$7,$C$7,$D$7,$E$7,$G$7)</f>
        <v>7.4943102128502961E-3</v>
      </c>
      <c r="D24" s="76" cm="1">
        <f t="array" ref="D24">fcr_XN(D$10,$E$1,$K$1,$B24,$I$1,$B$5,$C$5,$B$3,$C$3,$D$3,$E$3,$F$3,$G$3,$H$3,$D$5,$E$5,$F$5,$G$5,$H$5,$B$7,$C$7,$D$7,$E$7,$G$7)</f>
        <v>1.7038471774887744E-2</v>
      </c>
      <c r="E24" s="76" cm="1">
        <f t="array" ref="E24">fcr_XN(E$10,$E$1,$K$1,$B24,$I$1,$B$5,$C$5,$B$3,$C$3,$D$3,$E$3,$F$3,$G$3,$H$3,$D$5,$E$5,$F$5,$G$5,$H$5,$B$7,$C$7,$D$7,$E$7,$G$7)</f>
        <v>5.0381322137346661E-2</v>
      </c>
      <c r="F24" s="76" cm="1">
        <f t="array" ref="F24">fcr_XN(F$10,$E$1,$K$1,$B24,$I$1,$B$5,$C$5,$B$3,$C$3,$D$3,$E$3,$F$3,$G$3,$H$3,$D$5,$E$5,$F$5,$G$5,$H$5,$B$7,$C$7,$D$7,$E$7,$G$7)</f>
        <v>0.16296003415525981</v>
      </c>
      <c r="G24" s="76" cm="1">
        <f t="array" ref="G24">fcr_XN(G$10,$E$1,$K$1,$B24,$I$1,$B$5,$C$5,$B$3,$C$3,$D$3,$E$3,$F$3,$G$3,$H$3,$D$5,$E$5,$F$5,$G$5,$H$5,$B$7,$C$7,$D$7,$E$7,$G$7)</f>
        <v>0.21748071159683685</v>
      </c>
      <c r="I24" s="76"/>
      <c r="J24" s="76"/>
      <c r="K24" s="76"/>
      <c r="L24" s="76"/>
      <c r="N24">
        <v>6.75</v>
      </c>
      <c r="O24" s="76" cm="1">
        <f t="array" ref="O24">fcr_XN($N24,$E$1,$K$1,O$9,$I$1,$B$5,$C$5,$B$3,$C$3,$D$3,$E$3,$F$3,$G$3,$H$3,$D$5,$E$5,$F$5,$G$5,$H$5,$B$7,$C$7,$D$7,$E$7,$G$7)</f>
        <v>0.57191203927339707</v>
      </c>
      <c r="P24" s="50"/>
      <c r="Q24" s="76"/>
      <c r="R24" s="50"/>
      <c r="S24" s="76"/>
      <c r="T24" s="50"/>
      <c r="U24" s="76"/>
      <c r="V24" s="50"/>
      <c r="W24" s="115"/>
      <c r="X24" s="115"/>
      <c r="Y24" s="115"/>
      <c r="Z24" s="12"/>
      <c r="AA24" s="115"/>
      <c r="AB24" s="12"/>
      <c r="AC24" s="12"/>
      <c r="AD24" s="115"/>
      <c r="AE24" s="115"/>
      <c r="AF24" s="115"/>
      <c r="AG24" s="115"/>
      <c r="AH24" s="115"/>
      <c r="AI24" s="115"/>
      <c r="AJ24" s="115"/>
      <c r="AK24" s="115"/>
      <c r="AL24" s="12"/>
      <c r="AM24" s="3"/>
      <c r="AN24" s="13"/>
      <c r="AO24" s="13"/>
      <c r="AP24" s="13"/>
      <c r="AQ24" s="17"/>
      <c r="AR24" s="17"/>
      <c r="AS24" s="17"/>
      <c r="BE24" s="17"/>
      <c r="BF24" s="17"/>
      <c r="BG24" s="17"/>
      <c r="BH24" s="27"/>
      <c r="BI24" s="28"/>
      <c r="BJ24" s="17"/>
      <c r="BK24" s="17"/>
      <c r="BL24" s="17"/>
      <c r="BQ24" s="13"/>
      <c r="BR24" s="13"/>
      <c r="BS24" s="13"/>
      <c r="BT24" s="13"/>
      <c r="BU24" s="13"/>
      <c r="BV24" s="13"/>
      <c r="CE24" s="17"/>
      <c r="CF24" s="17"/>
      <c r="CG24" s="17"/>
      <c r="CH24" s="27"/>
      <c r="CI24" s="28"/>
      <c r="CJ24" s="28"/>
      <c r="CK24" s="28"/>
      <c r="CL24" s="29"/>
      <c r="CM24" s="3"/>
      <c r="CN24" s="13"/>
      <c r="CO24" s="13"/>
      <c r="CP24" s="13"/>
      <c r="CQ24" s="13"/>
      <c r="CR24" s="13"/>
      <c r="CS24" s="13"/>
      <c r="CT24" s="13"/>
      <c r="CU24" s="13"/>
      <c r="CV24" s="13"/>
    </row>
    <row r="25" spans="1:100" x14ac:dyDescent="0.4">
      <c r="A25" s="73">
        <v>15</v>
      </c>
      <c r="B25" s="73">
        <v>41</v>
      </c>
      <c r="C25" s="76" cm="1">
        <f t="array" ref="C25">fcr_XN(C$10,$E$1,$K$1,$B25,$I$1,$B$5,$C$5,$B$3,$C$3,$D$3,$E$3,$F$3,$G$3,$H$3,$D$5,$E$5,$F$5,$G$5,$H$5,$B$7,$C$7,$D$7,$E$7,$G$7)</f>
        <v>5.9262870414036996E-3</v>
      </c>
      <c r="D25" s="76" cm="1">
        <f t="array" ref="D25">fcr_XN(D$10,$E$1,$K$1,$B25,$I$1,$B$5,$C$5,$B$3,$C$3,$D$3,$E$3,$F$3,$G$3,$H$3,$D$5,$E$5,$F$5,$G$5,$H$5,$B$7,$C$7,$D$7,$E$7,$G$7)</f>
        <v>1.3651014208750166E-2</v>
      </c>
      <c r="E25" s="76" cm="1">
        <f t="array" ref="E25">fcr_XN(E$10,$E$1,$K$1,$B25,$I$1,$B$5,$C$5,$B$3,$C$3,$D$3,$E$3,$F$3,$G$3,$H$3,$D$5,$E$5,$F$5,$G$5,$H$5,$B$7,$C$7,$D$7,$E$7,$G$7)</f>
        <v>4.1546296166553379E-2</v>
      </c>
      <c r="F25" s="76" cm="1">
        <f t="array" ref="F25">fcr_XN(F$10,$E$1,$K$1,$B25,$I$1,$B$5,$C$5,$B$3,$C$3,$D$3,$E$3,$F$3,$G$3,$H$3,$D$5,$E$5,$F$5,$G$5,$H$5,$B$7,$C$7,$D$7,$E$7,$G$7)</f>
        <v>0.14139340423529811</v>
      </c>
      <c r="G25" s="76" cm="1">
        <f t="array" ref="G25">fcr_XN(G$10,$E$1,$K$1,$B25,$I$1,$B$5,$C$5,$B$3,$C$3,$D$3,$E$3,$F$3,$G$3,$H$3,$D$5,$E$5,$F$5,$G$5,$H$5,$B$7,$C$7,$D$7,$E$7,$G$7)</f>
        <v>0.18992583572057278</v>
      </c>
      <c r="I25" s="76"/>
      <c r="J25" s="76"/>
      <c r="K25" s="76"/>
      <c r="L25" s="76"/>
      <c r="N25">
        <v>7</v>
      </c>
      <c r="O25" s="76" cm="1">
        <f t="array" ref="O25">fcr_XN($N25,$E$1,$K$1,O$9,$I$1,$B$5,$C$5,$B$3,$C$3,$D$3,$E$3,$F$3,$G$3,$H$3,$D$5,$E$5,$F$5,$G$5,$H$5,$B$7,$C$7,$D$7,$E$7,$G$7)</f>
        <v>0.626290137158931</v>
      </c>
      <c r="P25" s="50"/>
      <c r="Q25" s="76"/>
      <c r="R25" s="50"/>
      <c r="S25" s="76"/>
      <c r="T25" s="50"/>
      <c r="U25" s="76"/>
      <c r="V25" s="50"/>
      <c r="W25" s="115"/>
      <c r="X25" s="115"/>
      <c r="Y25" s="115"/>
      <c r="Z25" s="12"/>
      <c r="AA25" s="115"/>
      <c r="AB25" s="12"/>
      <c r="AC25" s="12"/>
      <c r="AD25" s="115"/>
      <c r="AE25" s="115"/>
      <c r="AF25" s="115"/>
      <c r="AG25" s="115"/>
      <c r="AH25" s="115"/>
      <c r="AI25" s="115"/>
      <c r="AJ25" s="115"/>
      <c r="AK25" s="115"/>
      <c r="AL25" s="12"/>
      <c r="AM25" s="3"/>
      <c r="AN25" s="13"/>
      <c r="AO25" s="13"/>
      <c r="AP25" s="13"/>
      <c r="AQ25" s="17"/>
      <c r="AR25" s="17"/>
      <c r="AS25" s="17"/>
      <c r="BE25" s="17"/>
      <c r="BF25" s="17"/>
      <c r="BG25" s="17"/>
      <c r="BH25" s="27"/>
      <c r="BI25" s="28"/>
      <c r="BJ25" s="17"/>
      <c r="BK25" s="17"/>
      <c r="BL25" s="17"/>
      <c r="BQ25" s="13"/>
      <c r="BR25" s="13"/>
      <c r="BS25" s="13"/>
      <c r="BT25" s="13"/>
      <c r="BU25" s="13"/>
      <c r="BV25" s="13"/>
      <c r="CE25" s="17"/>
      <c r="CF25" s="17"/>
      <c r="CG25" s="17"/>
      <c r="CH25" s="27"/>
      <c r="CI25" s="28"/>
      <c r="CJ25" s="28"/>
      <c r="CK25" s="28"/>
      <c r="CL25" s="29"/>
      <c r="CM25" s="3"/>
      <c r="CN25" s="13"/>
      <c r="CO25" s="13"/>
      <c r="CP25" s="13"/>
      <c r="CQ25" s="13"/>
      <c r="CR25" s="13"/>
      <c r="CS25" s="13"/>
      <c r="CT25" s="13"/>
      <c r="CU25" s="13"/>
      <c r="CV25" s="13"/>
    </row>
    <row r="26" spans="1:100" x14ac:dyDescent="0.4">
      <c r="A26" s="73">
        <v>16</v>
      </c>
      <c r="B26" s="73">
        <v>46</v>
      </c>
      <c r="C26" s="76" cm="1">
        <f t="array" ref="C26">fcr_XN(C$10,$E$1,$K$1,$B26,$I$1,$B$5,$C$5,$B$3,$C$3,$D$3,$E$3,$F$3,$G$3,$H$3,$D$5,$E$5,$F$5,$G$5,$H$5,$B$7,$C$7,$D$7,$E$7,$G$7)</f>
        <v>5.0807657910967958E-3</v>
      </c>
      <c r="D26" s="76" cm="1">
        <f t="array" ref="D26">fcr_XN(D$10,$E$1,$K$1,$B26,$I$1,$B$5,$C$5,$B$3,$C$3,$D$3,$E$3,$F$3,$G$3,$H$3,$D$5,$E$5,$F$5,$G$5,$H$5,$B$7,$C$7,$D$7,$E$7,$G$7)</f>
        <v>1.1797642030495777E-2</v>
      </c>
      <c r="E26" s="76" cm="1">
        <f t="array" ref="E26">fcr_XN(E$10,$E$1,$K$1,$B26,$I$1,$B$5,$C$5,$B$3,$C$3,$D$3,$E$3,$F$3,$G$3,$H$3,$D$5,$E$5,$F$5,$G$5,$H$5,$B$7,$C$7,$D$7,$E$7,$G$7)</f>
        <v>3.6558016266006216E-2</v>
      </c>
      <c r="F26" s="76" cm="1">
        <f t="array" ref="F26">fcr_XN(F$10,$E$1,$K$1,$B26,$I$1,$B$5,$C$5,$B$3,$C$3,$D$3,$E$3,$F$3,$G$3,$H$3,$D$5,$E$5,$F$5,$G$5,$H$5,$B$7,$C$7,$D$7,$E$7,$G$7)</f>
        <v>0.12857778467545411</v>
      </c>
      <c r="G26" s="76" cm="1">
        <f t="array" ref="G26">fcr_XN(G$10,$E$1,$K$1,$B26,$I$1,$B$5,$C$5,$B$3,$C$3,$D$3,$E$3,$F$3,$G$3,$H$3,$D$5,$E$5,$F$5,$G$5,$H$5,$B$7,$C$7,$D$7,$E$7,$G$7)</f>
        <v>0.1734555682929837</v>
      </c>
      <c r="I26" s="76"/>
      <c r="J26" s="76"/>
      <c r="K26" s="76"/>
      <c r="L26" s="76"/>
      <c r="M26" s="76"/>
      <c r="N26">
        <v>7.25</v>
      </c>
      <c r="O26" s="76" cm="1">
        <f t="array" ref="O26">fcr_XN($N26,$E$1,$K$1,O$9,$I$1,$B$5,$C$5,$B$3,$C$3,$D$3,$E$3,$F$3,$G$3,$H$3,$D$5,$E$5,$F$5,$G$5,$H$5,$B$7,$C$7,$D$7,$E$7,$G$7)</f>
        <v>0.66815060564391648</v>
      </c>
      <c r="P26" s="50"/>
      <c r="Q26" s="76"/>
      <c r="R26" s="50"/>
      <c r="S26" s="76"/>
      <c r="T26" s="50"/>
      <c r="U26" s="76"/>
      <c r="V26" s="50"/>
      <c r="W26" s="115"/>
      <c r="X26" s="115"/>
      <c r="Y26" s="12"/>
      <c r="Z26" s="12"/>
      <c r="AA26" s="12"/>
      <c r="AB26" s="12"/>
      <c r="AC26" s="12"/>
      <c r="AD26" s="115"/>
      <c r="AE26" s="115"/>
      <c r="AF26" s="115"/>
      <c r="AG26" s="115"/>
      <c r="AH26" s="115"/>
      <c r="AI26" s="115"/>
      <c r="AJ26" s="115"/>
      <c r="AK26" s="115"/>
      <c r="AL26" s="12"/>
      <c r="AM26" s="3"/>
      <c r="AN26" s="13"/>
      <c r="AO26" s="13"/>
      <c r="AP26" s="13"/>
      <c r="AQ26" s="17"/>
      <c r="AR26" s="17"/>
      <c r="AS26" s="17"/>
      <c r="BE26" s="17"/>
      <c r="BF26" s="17"/>
      <c r="BG26" s="17"/>
      <c r="BH26" s="27"/>
      <c r="BI26" s="28"/>
      <c r="BJ26" s="17"/>
      <c r="BK26" s="17"/>
      <c r="BL26" s="17"/>
      <c r="BQ26" s="13"/>
      <c r="BR26" s="13"/>
      <c r="BS26" s="13"/>
      <c r="BT26" s="13"/>
      <c r="BU26" s="13"/>
      <c r="BV26" s="13"/>
      <c r="CE26" s="17"/>
      <c r="CF26" s="17"/>
      <c r="CG26" s="17"/>
      <c r="CH26" s="27"/>
      <c r="CI26" s="28"/>
      <c r="CJ26" s="28"/>
      <c r="CK26" s="28"/>
      <c r="CL26" s="29"/>
      <c r="CM26" s="3"/>
      <c r="CN26" s="13"/>
      <c r="CO26" s="13"/>
      <c r="CP26" s="13"/>
      <c r="CQ26" s="13"/>
      <c r="CR26" s="13"/>
      <c r="CS26" s="13"/>
      <c r="CT26" s="13"/>
      <c r="CU26" s="13"/>
      <c r="CV26" s="13"/>
    </row>
    <row r="27" spans="1:100" x14ac:dyDescent="0.4">
      <c r="A27" s="73">
        <v>17</v>
      </c>
      <c r="B27" s="73">
        <v>51</v>
      </c>
      <c r="C27" s="76" cm="1">
        <f t="array" ref="C27">fcr_XN(C$10,$E$1,$K$1,$B27,$I$1,$B$5,$C$5,$B$3,$C$3,$D$3,$E$3,$F$3,$G$3,$H$3,$D$5,$E$5,$F$5,$G$5,$H$5,$B$7,$C$7,$D$7,$E$7,$G$7)</f>
        <v>4.4220792833391462E-3</v>
      </c>
      <c r="D27" s="76" cm="1">
        <f t="array" ref="D27">fcr_XN(D$10,$E$1,$K$1,$B27,$I$1,$B$5,$C$5,$B$3,$C$3,$D$3,$E$3,$F$3,$G$3,$H$3,$D$5,$E$5,$F$5,$G$5,$H$5,$B$7,$C$7,$D$7,$E$7,$G$7)</f>
        <v>1.0336345873825505E-2</v>
      </c>
      <c r="E27" s="76" cm="1">
        <f t="array" ref="E27">fcr_XN(E$10,$E$1,$K$1,$B27,$I$1,$B$5,$C$5,$B$3,$C$3,$D$3,$E$3,$F$3,$G$3,$H$3,$D$5,$E$5,$F$5,$G$5,$H$5,$B$7,$C$7,$D$7,$E$7,$G$7)</f>
        <v>3.2516408184654517E-2</v>
      </c>
      <c r="F27" s="76" cm="1">
        <f t="array" ref="F27">fcr_XN(F$10,$E$1,$K$1,$B27,$I$1,$B$5,$C$5,$B$3,$C$3,$D$3,$E$3,$F$3,$G$3,$H$3,$D$5,$E$5,$F$5,$G$5,$H$5,$B$7,$C$7,$D$7,$E$7,$G$7)</f>
        <v>0.11765397241092977</v>
      </c>
      <c r="G27" s="76" cm="1">
        <f t="array" ref="G27">fcr_XN(G$10,$E$1,$K$1,$B27,$I$1,$B$5,$C$5,$B$3,$C$3,$D$3,$E$3,$F$3,$G$3,$H$3,$D$5,$E$5,$F$5,$G$5,$H$5,$B$7,$C$7,$D$7,$E$7,$G$7)</f>
        <v>0.15932310041628586</v>
      </c>
      <c r="I27" s="76"/>
      <c r="J27" s="76"/>
      <c r="K27" s="76"/>
      <c r="L27" s="76"/>
      <c r="M27" s="76"/>
      <c r="N27">
        <v>7.5</v>
      </c>
      <c r="O27" s="76" cm="1">
        <f t="array" ref="O27">fcr_XN($N27,$E$1,$K$1,O$9,$I$1,$B$5,$C$5,$B$3,$C$3,$D$3,$E$3,$F$3,$G$3,$H$3,$D$5,$E$5,$F$5,$G$5,$H$5,$B$7,$C$7,$D$7,$E$7,$G$7)</f>
        <v>0.70056782552736063</v>
      </c>
      <c r="P27" s="50"/>
      <c r="Q27" s="76"/>
      <c r="R27" s="50"/>
      <c r="S27" s="76"/>
      <c r="T27" s="50"/>
      <c r="U27" s="76"/>
      <c r="V27" s="50"/>
      <c r="W27" s="115"/>
      <c r="X27" s="115"/>
      <c r="Y27" s="12"/>
      <c r="Z27" s="12"/>
      <c r="AA27" s="12"/>
      <c r="AB27" s="12"/>
      <c r="AC27" s="12"/>
      <c r="AD27" s="115"/>
      <c r="AE27" s="115"/>
      <c r="AF27" s="115"/>
      <c r="AG27" s="115"/>
      <c r="AH27" s="115"/>
      <c r="AI27" s="115"/>
      <c r="AJ27" s="115"/>
      <c r="AK27" s="115"/>
      <c r="AL27" s="12"/>
      <c r="AM27" s="3"/>
      <c r="AN27" s="13"/>
      <c r="AO27" s="13"/>
      <c r="AP27" s="13"/>
      <c r="AQ27" s="17"/>
      <c r="AR27" s="17"/>
      <c r="AS27" s="17"/>
      <c r="BE27" s="17"/>
      <c r="BF27" s="17"/>
      <c r="BG27" s="17"/>
      <c r="BH27" s="27"/>
      <c r="BI27" s="28"/>
      <c r="BJ27" s="17"/>
      <c r="BK27" s="17"/>
      <c r="BL27" s="17"/>
      <c r="BQ27" s="13"/>
      <c r="BR27" s="13"/>
      <c r="BS27" s="13"/>
      <c r="BT27" s="13"/>
      <c r="BU27" s="13"/>
      <c r="BV27" s="13"/>
      <c r="CE27" s="17"/>
      <c r="CF27" s="17"/>
      <c r="CG27" s="17"/>
      <c r="CH27" s="27"/>
      <c r="CI27" s="28"/>
      <c r="CJ27" s="28"/>
      <c r="CK27" s="28"/>
      <c r="CL27" s="29"/>
      <c r="CM27" s="3"/>
      <c r="CN27" s="13"/>
      <c r="CO27" s="13"/>
      <c r="CP27" s="13"/>
      <c r="CQ27" s="13"/>
      <c r="CR27" s="13"/>
      <c r="CS27" s="13"/>
      <c r="CT27" s="13"/>
      <c r="CU27" s="13"/>
      <c r="CV27" s="13"/>
    </row>
    <row r="28" spans="1:100" x14ac:dyDescent="0.4">
      <c r="A28" s="73">
        <v>18</v>
      </c>
      <c r="B28" s="73">
        <v>56</v>
      </c>
      <c r="C28" s="76" cm="1">
        <f t="array" ref="C28">fcr_XN(C$10,$E$1,$K$1,$B28,$I$1,$B$5,$C$5,$B$3,$C$3,$D$3,$E$3,$F$3,$G$3,$H$3,$D$5,$E$5,$F$5,$G$5,$H$5,$B$7,$C$7,$D$7,$E$7,$G$7)</f>
        <v>3.8965990437850079E-3</v>
      </c>
      <c r="D28" s="76" cm="1">
        <f t="array" ref="D28">fcr_XN(D$10,$E$1,$K$1,$B28,$I$1,$B$5,$C$5,$B$3,$C$3,$D$3,$E$3,$F$3,$G$3,$H$3,$D$5,$E$5,$F$5,$G$5,$H$5,$B$7,$C$7,$D$7,$E$7,$G$7)</f>
        <v>9.158789928487383E-3</v>
      </c>
      <c r="E28" s="76" cm="1">
        <f t="array" ref="E28">fcr_XN(E$10,$E$1,$K$1,$B28,$I$1,$B$5,$C$5,$B$3,$C$3,$D$3,$E$3,$F$3,$G$3,$H$3,$D$5,$E$5,$F$5,$G$5,$H$5,$B$7,$C$7,$D$7,$E$7,$G$7)</f>
        <v>2.9183412035209275E-2</v>
      </c>
      <c r="F28" s="76" cm="1">
        <f t="array" ref="F28">fcr_XN(F$10,$E$1,$K$1,$B28,$I$1,$B$5,$C$5,$B$3,$C$3,$D$3,$E$3,$F$3,$G$3,$H$3,$D$5,$E$5,$F$5,$G$5,$H$5,$B$7,$C$7,$D$7,$E$7,$G$7)</f>
        <v>0.10823725646238071</v>
      </c>
      <c r="G28" s="76" cm="1">
        <f t="array" ref="G28">fcr_XN(G$10,$E$1,$K$1,$B28,$I$1,$B$5,$C$5,$B$3,$C$3,$D$3,$E$3,$F$3,$G$3,$H$3,$D$5,$E$5,$F$5,$G$5,$H$5,$B$7,$C$7,$D$7,$E$7,$G$7)</f>
        <v>0.14706792663633647</v>
      </c>
      <c r="I28" s="76"/>
      <c r="J28" s="76"/>
      <c r="K28" s="76"/>
      <c r="L28" s="76"/>
      <c r="M28" s="76"/>
      <c r="N28">
        <v>7.75</v>
      </c>
      <c r="O28" s="76" cm="1">
        <f t="array" ref="O28">fcr_XN($N28,$E$1,$K$1,O$9,$I$1,$B$5,$C$5,$B$3,$C$3,$D$3,$E$3,$F$3,$G$3,$H$3,$D$5,$E$5,$F$5,$G$5,$H$5,$B$7,$C$7,$D$7,$E$7,$G$7)</f>
        <v>0.73454045107810995</v>
      </c>
      <c r="P28" s="50"/>
      <c r="Q28" s="76"/>
      <c r="R28" s="50"/>
      <c r="S28" s="76"/>
      <c r="T28" s="50"/>
      <c r="U28" s="76"/>
      <c r="V28" s="50"/>
      <c r="W28" s="115"/>
      <c r="X28" s="115"/>
      <c r="Y28" s="12"/>
      <c r="Z28" s="12"/>
      <c r="AA28" s="12"/>
      <c r="AB28" s="12"/>
      <c r="AC28" s="12"/>
      <c r="AD28" s="115"/>
      <c r="AE28" s="115"/>
      <c r="AF28" s="115"/>
      <c r="AG28" s="115"/>
      <c r="AH28" s="115"/>
      <c r="AI28" s="115"/>
      <c r="AJ28" s="115"/>
      <c r="AK28" s="115"/>
      <c r="AL28" s="12"/>
      <c r="AM28" s="3"/>
      <c r="AN28" s="13"/>
      <c r="AO28" s="13"/>
      <c r="AP28" s="13"/>
      <c r="AQ28" s="17"/>
      <c r="AR28" s="17"/>
      <c r="AS28" s="17"/>
      <c r="BE28" s="17"/>
      <c r="BF28" s="17"/>
      <c r="BG28" s="17"/>
      <c r="BH28" s="27"/>
      <c r="BI28" s="28"/>
      <c r="BJ28" s="17"/>
      <c r="BK28" s="17"/>
      <c r="BL28" s="17"/>
      <c r="BQ28" s="13"/>
      <c r="BR28" s="13"/>
      <c r="BS28" s="13"/>
      <c r="BT28" s="13"/>
      <c r="BU28" s="13"/>
      <c r="BV28" s="13"/>
      <c r="CE28" s="17"/>
      <c r="CF28" s="17"/>
      <c r="CG28" s="17"/>
      <c r="CH28" s="27"/>
      <c r="CI28" s="28"/>
      <c r="CJ28" s="28"/>
      <c r="CK28" s="28"/>
      <c r="CL28" s="29"/>
      <c r="CM28" s="3"/>
      <c r="CN28" s="13"/>
      <c r="CO28" s="13"/>
      <c r="CP28" s="13"/>
      <c r="CQ28" s="13"/>
      <c r="CR28" s="13"/>
      <c r="CS28" s="13"/>
      <c r="CT28" s="13"/>
      <c r="CU28" s="13"/>
      <c r="CV28" s="13"/>
    </row>
    <row r="29" spans="1:100" x14ac:dyDescent="0.4">
      <c r="A29" s="73">
        <v>19</v>
      </c>
      <c r="B29" s="73">
        <v>61</v>
      </c>
      <c r="C29" s="76" cm="1">
        <f t="array" ref="C29">fcr_XN(C$10,$E$1,$K$1,$B29,$I$1,$B$5,$C$5,$B$3,$C$3,$D$3,$E$3,$F$3,$G$3,$H$3,$D$5,$E$5,$F$5,$G$5,$H$5,$B$7,$C$7,$D$7,$E$7,$G$7)</f>
        <v>3.4689809134739913E-3</v>
      </c>
      <c r="D29" s="76" cm="1">
        <f t="array" ref="D29">fcr_XN(D$10,$E$1,$K$1,$B29,$I$1,$B$5,$C$5,$B$3,$C$3,$D$3,$E$3,$F$3,$G$3,$H$3,$D$5,$E$5,$F$5,$G$5,$H$5,$B$7,$C$7,$D$7,$E$7,$G$7)</f>
        <v>8.192316995532618E-3</v>
      </c>
      <c r="E29" s="76" cm="1">
        <f t="array" ref="E29">fcr_XN(E$10,$E$1,$K$1,$B29,$I$1,$B$5,$C$5,$B$3,$C$3,$D$3,$E$3,$F$3,$G$3,$H$3,$D$5,$E$5,$F$5,$G$5,$H$5,$B$7,$C$7,$D$7,$E$7,$G$7)</f>
        <v>2.6392950277238474E-2</v>
      </c>
      <c r="F29" s="76" cm="1">
        <f t="array" ref="F29">fcr_XN(F$10,$E$1,$K$1,$B29,$I$1,$B$5,$C$5,$B$3,$C$3,$D$3,$E$3,$F$3,$G$3,$H$3,$D$5,$E$5,$F$5,$G$5,$H$5,$B$7,$C$7,$D$7,$E$7,$G$7)</f>
        <v>0.10003909731493495</v>
      </c>
      <c r="G29" s="76" cm="1">
        <f t="array" ref="G29">fcr_XN(G$10,$E$1,$K$1,$B29,$I$1,$B$5,$C$5,$B$3,$C$3,$D$3,$E$3,$F$3,$G$3,$H$3,$D$5,$E$5,$F$5,$G$5,$H$5,$B$7,$C$7,$D$7,$E$7,$G$7)</f>
        <v>0.13634148042297042</v>
      </c>
      <c r="I29" s="76"/>
      <c r="J29" s="76"/>
      <c r="K29" s="76"/>
      <c r="L29" s="76"/>
      <c r="M29" s="76"/>
      <c r="N29">
        <v>8</v>
      </c>
      <c r="O29" s="76" cm="1">
        <f t="array" ref="O29">fcr_XN($N29,$E$1,$K$1,O$9,$I$1,$B$5,$C$5,$B$3,$C$3,$D$3,$E$3,$F$3,$G$3,$H$3,$D$5,$E$5,$F$5,$G$5,$H$5,$B$7,$C$7,$D$7,$E$7,$G$7)</f>
        <v>0.77014284064139804</v>
      </c>
      <c r="P29" s="50"/>
      <c r="Q29" s="76"/>
      <c r="R29" s="50"/>
      <c r="S29" s="76"/>
      <c r="T29" s="50"/>
      <c r="U29" s="76"/>
      <c r="V29" s="50"/>
      <c r="W29" s="115"/>
      <c r="X29" s="115"/>
      <c r="Y29" s="12"/>
      <c r="Z29" s="12"/>
      <c r="AA29" s="12"/>
      <c r="AB29" s="12"/>
      <c r="AC29" s="12"/>
      <c r="AD29" s="115"/>
      <c r="AE29" s="115"/>
      <c r="AF29" s="115"/>
      <c r="AG29" s="115"/>
      <c r="AH29" s="115"/>
      <c r="AI29" s="115"/>
      <c r="AJ29" s="115"/>
      <c r="AK29" s="115"/>
      <c r="AL29" s="12"/>
      <c r="AM29" s="3"/>
      <c r="AN29" s="13"/>
      <c r="AO29" s="13"/>
      <c r="AP29" s="13"/>
      <c r="AQ29" s="17"/>
      <c r="AR29" s="17"/>
      <c r="AS29" s="17"/>
      <c r="BE29" s="17"/>
      <c r="BF29" s="17"/>
      <c r="BG29" s="17"/>
      <c r="BH29" s="27"/>
      <c r="BI29" s="28"/>
      <c r="BJ29" s="17"/>
      <c r="BK29" s="17"/>
      <c r="BL29" s="17"/>
      <c r="BQ29" s="13"/>
      <c r="BR29" s="13"/>
      <c r="BS29" s="13"/>
      <c r="BT29" s="13"/>
      <c r="BU29" s="13"/>
      <c r="BV29" s="13"/>
      <c r="CE29" s="17"/>
      <c r="CF29" s="17"/>
      <c r="CG29" s="17"/>
      <c r="CH29" s="27"/>
      <c r="CI29" s="28"/>
      <c r="CJ29" s="28"/>
      <c r="CK29" s="28"/>
      <c r="CL29" s="29"/>
      <c r="CM29" s="3"/>
      <c r="CN29" s="13"/>
      <c r="CO29" s="13"/>
      <c r="CP29" s="13"/>
      <c r="CQ29" s="13"/>
      <c r="CR29" s="13"/>
      <c r="CS29" s="13"/>
      <c r="CT29" s="13"/>
      <c r="CU29" s="13"/>
      <c r="CV29" s="13"/>
    </row>
    <row r="30" spans="1:100" x14ac:dyDescent="0.4">
      <c r="A30" s="73">
        <v>20</v>
      </c>
      <c r="B30" s="73">
        <v>66</v>
      </c>
      <c r="C30" s="76" cm="1">
        <f t="array" ref="C30">fcr_XN(C$10,$E$1,$K$1,$B30,$I$1,$B$5,$C$5,$B$3,$C$3,$D$3,$E$3,$F$3,$G$3,$H$3,$D$5,$E$5,$F$5,$G$5,$H$5,$B$7,$C$7,$D$7,$E$7,$G$7)</f>
        <v>3.1150963757602514E-3</v>
      </c>
      <c r="D30" s="76" cm="1">
        <f t="array" ref="D30">fcr_XN(D$10,$E$1,$K$1,$B30,$I$1,$B$5,$C$5,$B$3,$C$3,$D$3,$E$3,$F$3,$G$3,$H$3,$D$5,$E$5,$F$5,$G$5,$H$5,$B$7,$C$7,$D$7,$E$7,$G$7)</f>
        <v>7.3865907855832809E-3</v>
      </c>
      <c r="E30" s="76" cm="1">
        <f t="array" ref="E30">fcr_XN(E$10,$E$1,$K$1,$B30,$I$1,$B$5,$C$5,$B$3,$C$3,$D$3,$E$3,$F$3,$G$3,$H$3,$D$5,$E$5,$F$5,$G$5,$H$5,$B$7,$C$7,$D$7,$E$7,$G$7)</f>
        <v>2.4026024451699234E-2</v>
      </c>
      <c r="F30" s="76" cm="1">
        <f t="array" ref="F30">fcr_XN(F$10,$E$1,$K$1,$B30,$I$1,$B$5,$C$5,$B$3,$C$3,$D$3,$E$3,$F$3,$G$3,$H$3,$D$5,$E$5,$F$5,$G$5,$H$5,$B$7,$C$7,$D$7,$E$7,$G$7)</f>
        <v>9.2839213936790621E-2</v>
      </c>
      <c r="G30" s="76" cm="1">
        <f t="array" ref="G30">fcr_XN(G$10,$E$1,$K$1,$B30,$I$1,$B$5,$C$5,$B$3,$C$3,$D$3,$E$3,$F$3,$G$3,$H$3,$D$5,$E$5,$F$5,$G$5,$H$5,$B$7,$C$7,$D$7,$E$7,$G$7)</f>
        <v>0.12687547232668886</v>
      </c>
      <c r="I30" s="76"/>
      <c r="J30" s="76"/>
      <c r="K30" s="76"/>
      <c r="L30" s="76"/>
      <c r="M30" s="76"/>
      <c r="N30">
        <v>8.25</v>
      </c>
      <c r="O30" s="76" cm="1">
        <f t="array" ref="O30">fcr_XN($N30,$E$1,$K$1,O$9,$I$1,$B$5,$C$5,$B$3,$C$3,$D$3,$E$3,$F$3,$G$3,$H$3,$D$5,$E$5,$F$5,$G$5,$H$5,$B$7,$C$7,$D$7,$E$7,$G$7)</f>
        <v>0.8074529167207587</v>
      </c>
      <c r="P30" s="50"/>
      <c r="Q30" s="76"/>
      <c r="R30" s="50"/>
      <c r="S30" s="76"/>
      <c r="T30" s="50"/>
      <c r="U30" s="76"/>
      <c r="V30" s="50"/>
      <c r="W30" s="115"/>
      <c r="X30" s="115"/>
      <c r="Y30" s="12"/>
      <c r="Z30" s="12"/>
      <c r="AA30" s="12"/>
      <c r="AB30" s="12"/>
      <c r="AC30" s="12"/>
      <c r="AD30" s="115"/>
      <c r="AE30" s="115"/>
      <c r="AF30" s="115"/>
      <c r="AG30" s="115"/>
      <c r="AH30" s="115"/>
      <c r="AI30" s="115"/>
      <c r="AJ30" s="115"/>
      <c r="AK30" s="115"/>
      <c r="AL30" s="12"/>
      <c r="AM30" s="3"/>
      <c r="AN30" s="13"/>
      <c r="AO30" s="13"/>
      <c r="AP30" s="13"/>
      <c r="AQ30" s="17"/>
      <c r="AR30" s="17"/>
      <c r="AS30" s="17"/>
      <c r="BE30" s="17"/>
      <c r="BF30" s="17"/>
      <c r="BG30" s="17"/>
      <c r="BH30" s="27"/>
      <c r="BI30" s="28"/>
      <c r="BJ30" s="17"/>
      <c r="BK30" s="17"/>
      <c r="BL30" s="17"/>
      <c r="BQ30" s="13"/>
      <c r="BR30" s="13"/>
      <c r="BS30" s="13"/>
      <c r="BT30" s="13"/>
      <c r="BU30" s="13"/>
      <c r="BV30" s="13"/>
      <c r="CE30" s="17"/>
      <c r="CF30" s="17"/>
      <c r="CG30" s="17"/>
      <c r="CH30" s="27"/>
      <c r="CI30" s="28"/>
      <c r="CJ30" s="28"/>
      <c r="CK30" s="28"/>
      <c r="CL30" s="29"/>
      <c r="CM30" s="3"/>
      <c r="CN30" s="13"/>
      <c r="CO30" s="13"/>
      <c r="CP30" s="13"/>
      <c r="CQ30" s="13"/>
      <c r="CR30" s="13"/>
      <c r="CS30" s="13"/>
      <c r="CT30" s="13"/>
      <c r="CU30" s="13"/>
      <c r="CV30" s="13"/>
    </row>
    <row r="31" spans="1:100" x14ac:dyDescent="0.4">
      <c r="A31" s="73">
        <v>21</v>
      </c>
      <c r="B31" s="73">
        <v>71</v>
      </c>
      <c r="C31" s="76" cm="1">
        <f t="array" ref="C31">fcr_XN(C$10,$E$1,$K$1,$B31,$I$1,$B$5,$C$5,$B$3,$C$3,$D$3,$E$3,$F$3,$G$3,$H$3,$D$5,$E$5,$F$5,$G$5,$H$5,$B$7,$C$7,$D$7,$E$7,$G$7)</f>
        <v>2.8179758163453805E-3</v>
      </c>
      <c r="D31" s="76" cm="1">
        <f t="array" ref="D31">fcr_XN(D$10,$E$1,$K$1,$B31,$I$1,$B$5,$C$5,$B$3,$C$3,$D$3,$E$3,$F$3,$G$3,$H$3,$D$5,$E$5,$F$5,$G$5,$H$5,$B$7,$C$7,$D$7,$E$7,$G$7)</f>
        <v>6.7057619018559911E-3</v>
      </c>
      <c r="E31" s="76" cm="1">
        <f t="array" ref="E31">fcr_XN(E$10,$E$1,$K$1,$B31,$I$1,$B$5,$C$5,$B$3,$C$3,$D$3,$E$3,$F$3,$G$3,$H$3,$D$5,$E$5,$F$5,$G$5,$H$5,$B$7,$C$7,$D$7,$E$7,$G$7)</f>
        <v>2.1995379209346799E-2</v>
      </c>
      <c r="F31" s="76" cm="1">
        <f t="array" ref="F31">fcr_XN(F$10,$E$1,$K$1,$B31,$I$1,$B$5,$C$5,$B$3,$C$3,$D$3,$E$3,$F$3,$G$3,$H$3,$D$5,$E$5,$F$5,$G$5,$H$5,$B$7,$C$7,$D$7,$E$7,$G$7)</f>
        <v>8.6466772921284726E-2</v>
      </c>
      <c r="G31" s="76" cm="1">
        <f t="array" ref="G31">fcr_XN(G$10,$E$1,$K$1,$B31,$I$1,$B$5,$C$5,$B$3,$C$3,$D$3,$E$3,$F$3,$G$3,$H$3,$D$5,$E$5,$F$5,$G$5,$H$5,$B$7,$C$7,$D$7,$E$7,$G$7)</f>
        <v>0.11846030640849231</v>
      </c>
      <c r="I31" s="76"/>
      <c r="J31" s="76"/>
      <c r="K31" s="76"/>
      <c r="L31" s="76"/>
      <c r="M31" s="76"/>
      <c r="N31">
        <v>8.5</v>
      </c>
      <c r="O31" s="76" cm="1">
        <f t="array" ref="O31">fcr_XN($N31,$E$1,$K$1,O$9,$I$1,$B$5,$C$5,$B$3,$C$3,$D$3,$E$3,$F$3,$G$3,$H$3,$D$5,$E$5,$F$5,$G$5,$H$5,$B$7,$C$7,$D$7,$E$7,$G$7)</f>
        <v>0.84655233690244491</v>
      </c>
      <c r="P31" s="50"/>
      <c r="Q31" s="76"/>
      <c r="R31" s="50"/>
      <c r="S31" s="76"/>
      <c r="T31" s="50"/>
      <c r="U31" s="76"/>
      <c r="V31" s="50"/>
      <c r="W31" s="115"/>
      <c r="X31" s="115"/>
      <c r="Y31" s="12"/>
      <c r="Z31" s="12"/>
      <c r="AA31" s="12"/>
      <c r="AB31" s="12"/>
      <c r="AC31" s="12"/>
      <c r="AD31" s="115"/>
      <c r="AE31" s="115"/>
      <c r="AF31" s="115"/>
      <c r="AG31" s="115"/>
      <c r="AH31" s="115"/>
      <c r="AI31" s="115"/>
      <c r="AJ31" s="115"/>
      <c r="AK31" s="115"/>
      <c r="AL31" s="12"/>
      <c r="AM31" s="3"/>
      <c r="AN31" s="13"/>
      <c r="AO31" s="13"/>
      <c r="AP31" s="13"/>
      <c r="AQ31" s="17"/>
      <c r="AR31" s="17"/>
      <c r="AS31" s="17"/>
      <c r="BE31" s="17"/>
      <c r="BF31" s="17"/>
      <c r="BG31" s="17"/>
      <c r="BH31" s="27"/>
      <c r="BI31" s="28"/>
      <c r="BJ31" s="17"/>
      <c r="BK31" s="17"/>
      <c r="BL31" s="17"/>
      <c r="BQ31" s="13"/>
      <c r="BR31" s="13"/>
      <c r="BS31" s="13"/>
      <c r="BT31" s="13"/>
      <c r="BU31" s="13"/>
      <c r="BV31" s="13"/>
      <c r="CE31" s="17"/>
      <c r="CF31" s="17"/>
      <c r="CG31" s="17"/>
      <c r="CH31" s="27"/>
      <c r="CI31" s="28"/>
      <c r="CJ31" s="28"/>
      <c r="CK31" s="28"/>
      <c r="CL31" s="29"/>
      <c r="CM31" s="3"/>
      <c r="CN31" s="13"/>
      <c r="CO31" s="13"/>
      <c r="CP31" s="13"/>
      <c r="CQ31" s="13"/>
      <c r="CR31" s="13"/>
      <c r="CS31" s="13"/>
      <c r="CT31" s="13"/>
      <c r="CU31" s="13"/>
      <c r="CV31" s="13"/>
    </row>
    <row r="32" spans="1:100" x14ac:dyDescent="0.4">
      <c r="A32" s="73">
        <v>22</v>
      </c>
      <c r="B32" s="73">
        <v>76</v>
      </c>
      <c r="C32" s="76" cm="1">
        <f t="array" ref="C32">fcr_XN(C$10,$E$1,$K$1,$B32,$I$1,$B$5,$C$5,$B$3,$C$3,$D$3,$E$3,$F$3,$G$3,$H$3,$D$5,$E$5,$F$5,$G$5,$H$5,$B$7,$C$7,$D$7,$E$7,$G$7)</f>
        <v>2.5653761354384923E-3</v>
      </c>
      <c r="D32" s="76" cm="1">
        <f t="array" ref="D32">fcr_XN(D$10,$E$1,$K$1,$B32,$I$1,$B$5,$C$5,$B$3,$C$3,$D$3,$E$3,$F$3,$G$3,$H$3,$D$5,$E$5,$F$5,$G$5,$H$5,$B$7,$C$7,$D$7,$E$7,$G$7)</f>
        <v>6.1236833359631943E-3</v>
      </c>
      <c r="E32" s="76" cm="1">
        <f t="array" ref="E32">fcr_XN(E$10,$E$1,$K$1,$B32,$I$1,$B$5,$C$5,$B$3,$C$3,$D$3,$E$3,$F$3,$G$3,$H$3,$D$5,$E$5,$F$5,$G$5,$H$5,$B$7,$C$7,$D$7,$E$7,$G$7)</f>
        <v>2.0235733819753361E-2</v>
      </c>
      <c r="F32" s="76" cm="1">
        <f t="array" ref="F32">fcr_XN(F$10,$E$1,$K$1,$B32,$I$1,$B$5,$C$5,$B$3,$C$3,$D$3,$E$3,$F$3,$G$3,$H$3,$D$5,$E$5,$F$5,$G$5,$H$5,$B$7,$C$7,$D$7,$E$7,$G$7)</f>
        <v>8.0787417607913914E-2</v>
      </c>
      <c r="G32" s="76" cm="1">
        <f t="array" ref="G32">fcr_XN(G$10,$E$1,$K$1,$B32,$I$1,$B$5,$C$5,$B$3,$C$3,$D$3,$E$3,$F$3,$G$3,$H$3,$D$5,$E$5,$F$5,$G$5,$H$5,$B$7,$C$7,$D$7,$E$7,$G$7)</f>
        <v>0.11093004430570498</v>
      </c>
      <c r="I32" s="76"/>
      <c r="J32" s="76"/>
      <c r="K32" s="76"/>
      <c r="L32" s="76"/>
      <c r="M32" s="76"/>
      <c r="P32" s="50"/>
      <c r="Q32" s="76"/>
      <c r="R32" s="50"/>
      <c r="S32" s="76"/>
      <c r="T32" s="50"/>
      <c r="U32" s="76"/>
      <c r="V32" s="50"/>
      <c r="W32" s="115"/>
      <c r="X32" s="115"/>
      <c r="Y32" s="12"/>
      <c r="Z32" s="12"/>
      <c r="AA32" s="12"/>
      <c r="AB32" s="12"/>
      <c r="AC32" s="12"/>
      <c r="AD32" s="115"/>
      <c r="AE32" s="115"/>
      <c r="AF32" s="115"/>
      <c r="AG32" s="115"/>
      <c r="AH32" s="115"/>
      <c r="AI32" s="115"/>
      <c r="AJ32" s="115"/>
      <c r="AK32" s="115"/>
      <c r="AL32" s="12"/>
      <c r="AM32" s="3"/>
      <c r="AN32" s="13"/>
      <c r="AO32" s="13"/>
      <c r="AP32" s="13"/>
      <c r="AQ32" s="17"/>
      <c r="AR32" s="17"/>
      <c r="AS32" s="17"/>
      <c r="BE32" s="17"/>
      <c r="BF32" s="17"/>
      <c r="BG32" s="17"/>
      <c r="BH32" s="27"/>
      <c r="BI32" s="28"/>
      <c r="BJ32" s="17"/>
      <c r="BK32" s="17"/>
      <c r="BL32" s="17"/>
      <c r="BQ32" s="13"/>
      <c r="BR32" s="13"/>
      <c r="BS32" s="13"/>
      <c r="BT32" s="13"/>
      <c r="BU32" s="13"/>
      <c r="BV32" s="13"/>
      <c r="CE32" s="17"/>
      <c r="CF32" s="17"/>
      <c r="CG32" s="17"/>
      <c r="CH32" s="27"/>
      <c r="CI32" s="28"/>
      <c r="CJ32" s="28"/>
      <c r="CK32" s="28"/>
      <c r="CL32" s="29"/>
      <c r="CM32" s="3"/>
      <c r="CN32" s="13"/>
      <c r="CO32" s="13"/>
      <c r="CP32" s="13"/>
      <c r="CQ32" s="13"/>
      <c r="CR32" s="13"/>
      <c r="CS32" s="13"/>
      <c r="CT32" s="13"/>
      <c r="CU32" s="13"/>
      <c r="CV32" s="13"/>
    </row>
    <row r="33" spans="1:100" x14ac:dyDescent="0.4">
      <c r="A33" s="73">
        <v>23</v>
      </c>
      <c r="B33" s="73">
        <v>81</v>
      </c>
      <c r="C33" s="76" cm="1">
        <f t="array" ref="C33">fcr_XN(C$10,$E$1,$K$1,$B33,$I$1,$B$5,$C$5,$B$3,$C$3,$D$3,$E$3,$F$3,$G$3,$H$3,$D$5,$E$5,$F$5,$G$5,$H$5,$B$7,$C$7,$D$7,$E$7,$G$7)</f>
        <v>2.3482668283119519E-3</v>
      </c>
      <c r="D33" s="76" cm="1">
        <f t="array" ref="D33">fcr_XN(D$10,$E$1,$K$1,$B33,$I$1,$B$5,$C$5,$B$3,$C$3,$D$3,$E$3,$F$3,$G$3,$H$3,$D$5,$E$5,$F$5,$G$5,$H$5,$B$7,$C$7,$D$7,$E$7,$G$7)</f>
        <v>5.6208850327690713E-3</v>
      </c>
      <c r="E33" s="76" cm="1">
        <f t="array" ref="E33">fcr_XN(E$10,$E$1,$K$1,$B33,$I$1,$B$5,$C$5,$B$3,$C$3,$D$3,$E$3,$F$3,$G$3,$H$3,$D$5,$E$5,$F$5,$G$5,$H$5,$B$7,$C$7,$D$7,$E$7,$G$7)</f>
        <v>1.8697374768337237E-2</v>
      </c>
      <c r="F33" s="76" cm="1">
        <f t="array" ref="F33">fcr_XN(F$10,$E$1,$K$1,$B33,$I$1,$B$5,$C$5,$B$3,$C$3,$D$3,$E$3,$F$3,$G$3,$H$3,$D$5,$E$5,$F$5,$G$5,$H$5,$B$7,$C$7,$D$7,$E$7,$G$7)</f>
        <v>7.5694139742417191E-2</v>
      </c>
      <c r="G33" s="76" cm="1">
        <f t="array" ref="G33">fcr_XN(G$10,$E$1,$K$1,$B33,$I$1,$B$5,$C$5,$B$3,$C$3,$D$3,$E$3,$F$3,$G$3,$H$3,$D$5,$E$5,$F$5,$G$5,$H$5,$B$7,$C$7,$D$7,$E$7,$G$7)</f>
        <v>0.10415172582466968</v>
      </c>
      <c r="I33" s="76"/>
      <c r="J33" s="76"/>
      <c r="K33" s="76"/>
      <c r="L33" s="76"/>
      <c r="M33" s="76"/>
      <c r="P33" s="50"/>
      <c r="Q33" s="76"/>
      <c r="R33" s="50"/>
      <c r="S33" s="76"/>
      <c r="T33" s="50"/>
      <c r="U33" s="76"/>
      <c r="V33" s="50"/>
      <c r="W33" s="115"/>
      <c r="X33" s="115"/>
      <c r="Y33" s="12"/>
      <c r="Z33" s="12"/>
      <c r="AA33" s="12"/>
      <c r="AB33" s="12"/>
      <c r="AC33" s="12"/>
      <c r="AD33" s="115"/>
      <c r="AE33" s="115"/>
      <c r="AF33" s="115"/>
      <c r="AG33" s="115"/>
      <c r="AH33" s="115"/>
      <c r="AI33" s="115"/>
      <c r="AJ33" s="115"/>
      <c r="AK33" s="115"/>
      <c r="AL33" s="12"/>
      <c r="AM33" s="3"/>
      <c r="AN33" s="13"/>
      <c r="AO33" s="13"/>
      <c r="AP33" s="13"/>
      <c r="AQ33" s="17"/>
      <c r="AR33" s="17"/>
      <c r="AS33" s="17"/>
      <c r="BE33" s="17"/>
      <c r="BF33" s="17"/>
      <c r="BG33" s="17"/>
      <c r="BH33" s="27"/>
      <c r="BI33" s="28"/>
      <c r="BJ33" s="17"/>
      <c r="BK33" s="17"/>
      <c r="BL33" s="17"/>
      <c r="BQ33" s="13"/>
      <c r="BR33" s="13"/>
      <c r="BS33" s="13"/>
      <c r="BT33" s="13"/>
      <c r="BU33" s="13"/>
      <c r="BV33" s="13"/>
      <c r="CE33" s="17"/>
      <c r="CF33" s="17"/>
      <c r="CG33" s="17"/>
      <c r="CH33" s="27"/>
      <c r="CI33" s="28"/>
      <c r="CJ33" s="28"/>
      <c r="CK33" s="28"/>
      <c r="CL33" s="29"/>
      <c r="CM33" s="3"/>
      <c r="CN33" s="13"/>
      <c r="CO33" s="13"/>
      <c r="CP33" s="13"/>
      <c r="CQ33" s="13"/>
      <c r="CR33" s="13"/>
      <c r="CS33" s="13"/>
      <c r="CT33" s="13"/>
      <c r="CU33" s="13"/>
      <c r="CV33" s="13"/>
    </row>
    <row r="34" spans="1:100" x14ac:dyDescent="0.4">
      <c r="A34" s="73">
        <v>24</v>
      </c>
      <c r="B34" s="73">
        <v>86</v>
      </c>
      <c r="C34" s="76" cm="1">
        <f t="array" ref="C34">fcr_XN(C$10,$E$1,$K$1,$B34,$I$1,$B$5,$C$5,$B$3,$C$3,$D$3,$E$3,$F$3,$G$3,$H$3,$D$5,$E$5,$F$5,$G$5,$H$5,$B$7,$C$7,$D$7,$E$7,$G$7)</f>
        <v>2.159856859259885E-3</v>
      </c>
      <c r="D34" s="76" cm="1">
        <f t="array" ref="D34">fcr_XN(D$10,$E$1,$K$1,$B34,$I$1,$B$5,$C$5,$B$3,$C$3,$D$3,$E$3,$F$3,$G$3,$H$3,$D$5,$E$5,$F$5,$G$5,$H$5,$B$7,$C$7,$D$7,$E$7,$G$7)</f>
        <v>5.1826021940260406E-3</v>
      </c>
      <c r="E34" s="76" cm="1">
        <f t="array" ref="E34">fcr_XN(E$10,$E$1,$K$1,$B34,$I$1,$B$5,$C$5,$B$3,$C$3,$D$3,$E$3,$F$3,$G$3,$H$3,$D$5,$E$5,$F$5,$G$5,$H$5,$B$7,$C$7,$D$7,$E$7,$G$7)</f>
        <v>1.7341843425131589E-2</v>
      </c>
      <c r="F34" s="76" cm="1">
        <f t="array" ref="F34">fcr_XN(F$10,$E$1,$K$1,$B34,$I$1,$B$5,$C$5,$B$3,$C$3,$D$3,$E$3,$F$3,$G$3,$H$3,$D$5,$E$5,$F$5,$G$5,$H$5,$B$7,$C$7,$D$7,$E$7,$G$7)</f>
        <v>7.1100736853893065E-2</v>
      </c>
      <c r="G34" s="76" cm="1">
        <f t="array" ref="G34">fcr_XN(G$10,$E$1,$K$1,$B34,$I$1,$B$5,$C$5,$B$3,$C$3,$D$3,$E$3,$F$3,$G$3,$H$3,$D$5,$E$5,$F$5,$G$5,$H$5,$B$7,$C$7,$D$7,$E$7,$G$7)</f>
        <v>9.8017650702698397E-2</v>
      </c>
      <c r="I34" s="76"/>
      <c r="J34" s="76"/>
      <c r="K34" s="76"/>
      <c r="L34" s="76"/>
      <c r="M34" s="76"/>
      <c r="N34" s="13"/>
      <c r="O34" s="13"/>
      <c r="P34" s="13"/>
      <c r="Q34" s="13"/>
      <c r="R34" s="13"/>
      <c r="S34" s="12"/>
      <c r="T34" s="12"/>
      <c r="U34" s="115"/>
      <c r="V34" s="115"/>
      <c r="W34" s="115"/>
      <c r="X34" s="115"/>
      <c r="Y34" s="12"/>
      <c r="Z34" s="12"/>
      <c r="AA34" s="12"/>
      <c r="AB34" s="12"/>
      <c r="AC34" s="12"/>
      <c r="AD34" s="115"/>
      <c r="AE34" s="115"/>
      <c r="AF34" s="115"/>
      <c r="AG34" s="115"/>
      <c r="AH34" s="115"/>
      <c r="AI34" s="115"/>
      <c r="AJ34" s="115"/>
      <c r="AK34" s="115"/>
      <c r="AL34" s="12"/>
      <c r="AM34" s="3"/>
      <c r="AN34" s="13"/>
      <c r="AO34" s="13"/>
      <c r="AP34" s="13"/>
      <c r="AQ34" s="17"/>
      <c r="AR34" s="17"/>
      <c r="AS34" s="17"/>
      <c r="BE34" s="17"/>
      <c r="BF34" s="17"/>
      <c r="BG34" s="17"/>
      <c r="BH34" s="27"/>
      <c r="BI34" s="28"/>
      <c r="BJ34" s="17"/>
      <c r="BK34" s="17"/>
      <c r="BL34" s="17"/>
      <c r="BQ34" s="13"/>
      <c r="BR34" s="13"/>
      <c r="BS34" s="13"/>
      <c r="BT34" s="13"/>
      <c r="BU34" s="13"/>
      <c r="BV34" s="13"/>
      <c r="CE34" s="17"/>
      <c r="CF34" s="17"/>
      <c r="CG34" s="17"/>
      <c r="CH34" s="27"/>
      <c r="CI34" s="28"/>
      <c r="CJ34" s="28"/>
      <c r="CK34" s="28"/>
      <c r="CL34" s="29"/>
      <c r="CM34" s="3"/>
      <c r="CN34" s="13"/>
      <c r="CO34" s="13"/>
      <c r="CP34" s="13"/>
      <c r="CQ34" s="13"/>
      <c r="CR34" s="13"/>
      <c r="CS34" s="13"/>
      <c r="CT34" s="13"/>
      <c r="CU34" s="13"/>
      <c r="CV34" s="13"/>
    </row>
    <row r="35" spans="1:100" x14ac:dyDescent="0.4">
      <c r="A35" s="73">
        <v>25</v>
      </c>
      <c r="B35" s="73">
        <v>91</v>
      </c>
      <c r="C35" s="76" cm="1">
        <f t="array" ref="C35">fcr_XN(C$10,$E$1,$K$1,$B35,$I$1,$B$5,$C$5,$B$3,$C$3,$D$3,$E$3,$F$3,$G$3,$H$3,$D$5,$E$5,$F$5,$G$5,$H$5,$B$7,$C$7,$D$7,$E$7,$G$7)</f>
        <v>1.9949513157107549E-3</v>
      </c>
      <c r="D35" s="76" cm="1">
        <f t="array" ref="D35">fcr_XN(D$10,$E$1,$K$1,$B35,$I$1,$B$5,$C$5,$B$3,$C$3,$D$3,$E$3,$F$3,$G$3,$H$3,$D$5,$E$5,$F$5,$G$5,$H$5,$B$7,$C$7,$D$7,$E$7,$G$7)</f>
        <v>4.7974558921135549E-3</v>
      </c>
      <c r="E35" s="76" cm="1">
        <f t="array" ref="E35">fcr_XN(E$10,$E$1,$K$1,$B35,$I$1,$B$5,$C$5,$B$3,$C$3,$D$3,$E$3,$F$3,$G$3,$H$3,$D$5,$E$5,$F$5,$G$5,$H$5,$B$7,$C$7,$D$7,$E$7,$G$7)</f>
        <v>1.6138966915236998E-2</v>
      </c>
      <c r="F35" s="76" cm="1">
        <f t="array" ref="F35">fcr_XN(F$10,$E$1,$K$1,$B35,$I$1,$B$5,$C$5,$B$3,$C$3,$D$3,$E$3,$F$3,$G$3,$H$3,$D$5,$E$5,$F$5,$G$5,$H$5,$B$7,$C$7,$D$7,$E$7,$G$7)</f>
        <v>6.6937045048540089E-2</v>
      </c>
      <c r="G35" s="76" cm="1">
        <f t="array" ref="G35">fcr_XN(G$10,$E$1,$K$1,$B35,$I$1,$B$5,$C$5,$B$3,$C$3,$D$3,$E$3,$F$3,$G$3,$H$3,$D$5,$E$5,$F$5,$G$5,$H$5,$B$7,$C$7,$D$7,$E$7,$G$7)</f>
        <v>9.2439712134052429E-2</v>
      </c>
      <c r="I35" s="76"/>
      <c r="J35" s="76"/>
      <c r="K35" s="76"/>
      <c r="L35" s="76"/>
      <c r="M35" s="76"/>
      <c r="N35" s="13"/>
      <c r="O35" s="13"/>
      <c r="P35" s="13"/>
      <c r="Q35" s="13"/>
      <c r="R35" s="13"/>
      <c r="S35" s="12"/>
      <c r="T35" s="12"/>
      <c r="U35" s="115"/>
      <c r="V35" s="115"/>
      <c r="W35" s="115"/>
      <c r="X35" s="115"/>
      <c r="Y35" s="12"/>
      <c r="Z35" s="12"/>
      <c r="AA35" s="12"/>
      <c r="AB35" s="12"/>
      <c r="AC35" s="12"/>
      <c r="AD35" s="115"/>
      <c r="AE35" s="115"/>
      <c r="AF35" s="115"/>
      <c r="AG35" s="115"/>
      <c r="AH35" s="115"/>
      <c r="AI35" s="115"/>
      <c r="AJ35" s="115"/>
      <c r="AK35" s="115"/>
      <c r="AL35" s="12"/>
      <c r="AM35" s="3"/>
      <c r="AN35" s="13"/>
      <c r="AO35" s="13"/>
      <c r="AP35" s="13"/>
      <c r="AQ35" s="17"/>
      <c r="AR35" s="17"/>
      <c r="AS35" s="17"/>
      <c r="BE35" s="17"/>
      <c r="BF35" s="17"/>
      <c r="BG35" s="17"/>
      <c r="BH35" s="27"/>
      <c r="BI35" s="28"/>
      <c r="BJ35" s="17"/>
      <c r="BK35" s="17"/>
      <c r="BL35" s="17"/>
      <c r="BQ35" s="13"/>
      <c r="BR35" s="13"/>
      <c r="BS35" s="13"/>
      <c r="BT35" s="13"/>
      <c r="BU35" s="13"/>
      <c r="BV35" s="13"/>
      <c r="CE35" s="17"/>
      <c r="CF35" s="17"/>
      <c r="CG35" s="17"/>
      <c r="CH35" s="27"/>
      <c r="CI35" s="28"/>
      <c r="CJ35" s="28"/>
      <c r="CK35" s="28"/>
      <c r="CL35" s="29"/>
      <c r="CM35" s="3"/>
      <c r="CN35" s="13"/>
      <c r="CO35" s="13"/>
      <c r="CP35" s="13"/>
      <c r="CQ35" s="13"/>
      <c r="CR35" s="13"/>
      <c r="CS35" s="13"/>
      <c r="CT35" s="13"/>
      <c r="CU35" s="13"/>
      <c r="CV35" s="13"/>
    </row>
    <row r="36" spans="1:100" x14ac:dyDescent="0.4">
      <c r="A36" s="73">
        <v>26</v>
      </c>
      <c r="B36" s="73">
        <v>96</v>
      </c>
      <c r="C36" s="76" cm="1">
        <f t="array" ref="C36">fcr_XN(C$10,$E$1,$K$1,$B36,$I$1,$B$5,$C$5,$B$3,$C$3,$D$3,$E$3,$F$3,$G$3,$H$3,$D$5,$E$5,$F$5,$G$5,$H$5,$B$7,$C$7,$D$7,$E$7,$G$7)</f>
        <v>1.8495154281369284E-3</v>
      </c>
      <c r="D36" s="76" cm="1">
        <f t="array" ref="D36">fcr_XN(D$10,$E$1,$K$1,$B36,$I$1,$B$5,$C$5,$B$3,$C$3,$D$3,$E$3,$F$3,$G$3,$H$3,$D$5,$E$5,$F$5,$G$5,$H$5,$B$7,$C$7,$D$7,$E$7,$G$7)</f>
        <v>4.4565493203504751E-3</v>
      </c>
      <c r="E36" s="76" cm="1">
        <f t="array" ref="E36">fcr_XN(E$10,$E$1,$K$1,$B36,$I$1,$B$5,$C$5,$B$3,$C$3,$D$3,$E$3,$F$3,$G$3,$H$3,$D$5,$E$5,$F$5,$G$5,$H$5,$B$7,$C$7,$D$7,$E$7,$G$7)</f>
        <v>1.506477191114698E-2</v>
      </c>
      <c r="F36" s="76" cm="1">
        <f t="array" ref="F36">fcr_XN(F$10,$E$1,$K$1,$B36,$I$1,$B$5,$C$5,$B$3,$C$3,$D$3,$E$3,$F$3,$G$3,$H$3,$D$5,$E$5,$F$5,$G$5,$H$5,$B$7,$C$7,$D$7,$E$7,$G$7)</f>
        <v>6.3145413239164824E-2</v>
      </c>
      <c r="G36" s="76" cm="1">
        <f t="array" ref="G36">fcr_XN(G$10,$E$1,$K$1,$B36,$I$1,$B$5,$C$5,$B$3,$C$3,$D$3,$E$3,$F$3,$G$3,$H$3,$D$5,$E$5,$F$5,$G$5,$H$5,$B$7,$C$7,$D$7,$E$7,$G$7)</f>
        <v>8.7345176868841412E-2</v>
      </c>
      <c r="I36" s="76"/>
      <c r="J36" s="76"/>
      <c r="K36" s="76"/>
      <c r="L36" s="76"/>
      <c r="M36" s="76"/>
      <c r="N36" s="13"/>
      <c r="O36" s="13"/>
      <c r="P36" s="13"/>
      <c r="Q36" s="13"/>
      <c r="R36" s="13"/>
      <c r="S36" s="12"/>
      <c r="T36" s="12"/>
      <c r="U36" s="115"/>
      <c r="V36" s="115"/>
      <c r="W36" s="115"/>
      <c r="X36" s="115"/>
      <c r="Y36" s="12"/>
      <c r="Z36" s="12"/>
      <c r="AA36" s="12"/>
      <c r="AB36" s="12"/>
      <c r="AC36" s="12"/>
      <c r="AD36" s="115"/>
      <c r="AE36" s="115"/>
      <c r="AF36" s="115"/>
      <c r="AG36" s="115"/>
      <c r="AH36" s="115"/>
      <c r="AI36" s="115"/>
      <c r="AJ36" s="115"/>
      <c r="AK36" s="115"/>
      <c r="AL36" s="12"/>
      <c r="AM36" s="3"/>
      <c r="AN36" s="13"/>
      <c r="AO36" s="13"/>
      <c r="AP36" s="13"/>
      <c r="AQ36" s="17"/>
      <c r="AR36" s="17"/>
      <c r="AS36" s="17"/>
      <c r="BE36" s="17"/>
      <c r="BF36" s="17"/>
      <c r="BG36" s="17"/>
      <c r="BH36" s="27"/>
      <c r="BI36" s="28"/>
      <c r="BJ36" s="17"/>
      <c r="BK36" s="17"/>
      <c r="BL36" s="17"/>
      <c r="BQ36" s="13"/>
      <c r="BR36" s="13"/>
      <c r="BS36" s="13"/>
      <c r="BT36" s="13"/>
      <c r="BU36" s="13"/>
      <c r="BV36" s="13"/>
      <c r="CE36" s="17"/>
      <c r="CF36" s="17"/>
      <c r="CG36" s="17"/>
      <c r="CH36" s="27"/>
      <c r="CI36" s="28"/>
      <c r="CJ36" s="28"/>
      <c r="CK36" s="28"/>
      <c r="CL36" s="29"/>
      <c r="CM36" s="3"/>
      <c r="CN36" s="13"/>
      <c r="CO36" s="13"/>
      <c r="CP36" s="13"/>
      <c r="CQ36" s="13"/>
      <c r="CR36" s="13"/>
      <c r="CS36" s="13"/>
      <c r="CT36" s="13"/>
      <c r="CU36" s="13"/>
      <c r="CV36" s="13"/>
    </row>
    <row r="37" spans="1:100" x14ac:dyDescent="0.4">
      <c r="A37" s="73">
        <v>27</v>
      </c>
      <c r="B37" s="73">
        <v>100</v>
      </c>
      <c r="C37" s="76" cm="1">
        <f t="array" ref="C37">fcr_XN(C$10,$E$1,$K$1,$B37,$I$1,$B$5,$C$5,$B$3,$C$3,$D$3,$E$3,$F$3,$G$3,$H$3,$D$5,$E$5,$F$5,$G$5,$H$5,$B$7,$C$7,$D$7,$E$7,$G$7)</f>
        <v>1.7450271257633161E-3</v>
      </c>
      <c r="D37" s="76" cm="1">
        <f t="array" ref="D37">fcr_XN(D$10,$E$1,$K$1,$B37,$I$1,$B$5,$C$5,$B$3,$C$3,$D$3,$E$3,$F$3,$G$3,$H$3,$D$5,$E$5,$F$5,$G$5,$H$5,$B$7,$C$7,$D$7,$E$7,$G$7)</f>
        <v>4.2108913004778557E-3</v>
      </c>
      <c r="E37" s="76" cm="1">
        <f t="array" ref="E37">fcr_XN(E$10,$E$1,$K$1,$B37,$I$1,$B$5,$C$5,$B$3,$C$3,$D$3,$E$3,$F$3,$G$3,$H$3,$D$5,$E$5,$F$5,$G$5,$H$5,$B$7,$C$7,$D$7,$E$7,$G$7)</f>
        <v>1.4284990660546858E-2</v>
      </c>
      <c r="F37" s="76" cm="1">
        <f t="array" ref="F37">fcr_XN(F$10,$E$1,$K$1,$B37,$I$1,$B$5,$C$5,$B$3,$C$3,$D$3,$E$3,$F$3,$G$3,$H$3,$D$5,$E$5,$F$5,$G$5,$H$5,$B$7,$C$7,$D$7,$E$7,$G$7)</f>
        <v>6.0347604011902048E-2</v>
      </c>
      <c r="G37" s="76" cm="1">
        <f t="array" ref="G37">fcr_XN(G$10,$E$1,$K$1,$B37,$I$1,$B$5,$C$5,$B$3,$C$3,$D$3,$E$3,$F$3,$G$3,$H$3,$D$5,$E$5,$F$5,$G$5,$H$5,$B$7,$C$7,$D$7,$E$7,$G$7)</f>
        <v>8.3576569416466948E-2</v>
      </c>
      <c r="I37" s="76"/>
      <c r="J37" s="76"/>
      <c r="K37" s="76"/>
      <c r="L37" s="76"/>
      <c r="M37" s="76"/>
      <c r="N37" s="13"/>
      <c r="O37" s="13"/>
      <c r="P37" s="13"/>
      <c r="Q37" s="13"/>
      <c r="R37" s="13"/>
      <c r="S37" s="12"/>
      <c r="T37" s="12"/>
      <c r="U37" s="115"/>
      <c r="V37" s="115"/>
      <c r="W37" s="115"/>
      <c r="X37" s="115"/>
      <c r="Y37" s="12"/>
      <c r="Z37" s="12"/>
      <c r="AA37" s="12"/>
      <c r="AB37" s="12"/>
      <c r="AC37" s="12"/>
      <c r="AD37" s="115"/>
      <c r="AE37" s="115"/>
      <c r="AF37" s="115"/>
      <c r="AG37" s="115"/>
      <c r="AH37" s="115"/>
      <c r="AI37" s="115"/>
      <c r="AJ37" s="115"/>
      <c r="AK37" s="115"/>
      <c r="AL37" s="12"/>
      <c r="AM37" s="3"/>
      <c r="AN37" s="13"/>
      <c r="AO37" s="13"/>
      <c r="AP37" s="13"/>
      <c r="AQ37" s="17"/>
      <c r="AR37" s="17"/>
      <c r="AS37" s="17"/>
      <c r="BE37" s="17"/>
      <c r="BF37" s="17"/>
      <c r="BG37" s="17"/>
      <c r="BH37" s="27"/>
      <c r="BI37" s="28"/>
      <c r="BJ37" s="17"/>
      <c r="BK37" s="17"/>
      <c r="BL37" s="17"/>
      <c r="BQ37" s="13"/>
      <c r="BR37" s="13"/>
      <c r="BS37" s="13"/>
      <c r="BT37" s="13"/>
      <c r="BU37" s="13"/>
      <c r="BV37" s="13"/>
      <c r="CE37" s="17"/>
      <c r="CF37" s="17"/>
      <c r="CG37" s="17"/>
      <c r="CH37" s="27"/>
      <c r="CI37" s="28"/>
      <c r="CJ37" s="28"/>
      <c r="CK37" s="28"/>
      <c r="CL37" s="29"/>
      <c r="CM37" s="3"/>
      <c r="CN37" s="13"/>
      <c r="CO37" s="13"/>
      <c r="CP37" s="13"/>
      <c r="CQ37" s="13"/>
      <c r="CR37" s="13"/>
      <c r="CS37" s="13"/>
      <c r="CT37" s="13"/>
      <c r="CU37" s="13"/>
      <c r="CV37" s="13"/>
    </row>
    <row r="38" spans="1:100" x14ac:dyDescent="0.4">
      <c r="A38" s="73">
        <v>28</v>
      </c>
      <c r="B38" s="73">
        <v>111</v>
      </c>
      <c r="C38" s="76" cm="1">
        <f t="array" ref="C38">fcr_XN(C$10,$E$1,$K$1,$B38,$I$1,$B$5,$C$5,$B$3,$C$3,$D$3,$E$3,$F$3,$G$3,$H$3,$D$5,$E$5,$F$5,$G$5,$H$5,$B$7,$C$7,$D$7,$E$7,$G$7)</f>
        <v>1.5013298232630396E-3</v>
      </c>
      <c r="D38" s="76" cm="1">
        <f t="array" ref="D38">fcr_XN(D$10,$E$1,$K$1,$B38,$I$1,$B$5,$C$5,$B$3,$C$3,$D$3,$E$3,$F$3,$G$3,$H$3,$D$5,$E$5,$F$5,$G$5,$H$5,$B$7,$C$7,$D$7,$E$7,$G$7)</f>
        <v>3.6354728077946422E-3</v>
      </c>
      <c r="E38" s="76" cm="1">
        <f t="array" ref="E38">fcr_XN(E$10,$E$1,$K$1,$B38,$I$1,$B$5,$C$5,$B$3,$C$3,$D$3,$E$3,$F$3,$G$3,$H$3,$D$5,$E$5,$F$5,$G$5,$H$5,$B$7,$C$7,$D$7,$E$7,$G$7)</f>
        <v>1.243891380960665E-2</v>
      </c>
      <c r="F38" s="76" cm="1">
        <f t="array" ref="F38">fcr_XN(F$10,$E$1,$K$1,$B38,$I$1,$B$5,$C$5,$B$3,$C$3,$D$3,$E$3,$F$3,$G$3,$H$3,$D$5,$E$5,$F$5,$G$5,$H$5,$B$7,$C$7,$D$7,$E$7,$G$7)</f>
        <v>5.3562837814719849E-2</v>
      </c>
      <c r="G38" s="76" cm="1">
        <f t="array" ref="G38">fcr_XN(G$10,$E$1,$K$1,$B38,$I$1,$B$5,$C$5,$B$3,$C$3,$D$3,$E$3,$F$3,$G$3,$H$3,$D$5,$E$5,$F$5,$G$5,$H$5,$B$7,$C$7,$D$7,$E$7,$G$7)</f>
        <v>7.4403474861354665E-2</v>
      </c>
      <c r="I38" s="76"/>
      <c r="J38" s="76"/>
      <c r="K38" s="76"/>
      <c r="L38" s="76"/>
      <c r="M38" s="76"/>
      <c r="N38" s="13"/>
      <c r="O38" s="13"/>
      <c r="P38" s="13"/>
      <c r="Q38" s="13"/>
      <c r="R38" s="13"/>
      <c r="S38" s="12"/>
      <c r="T38" s="12"/>
      <c r="U38" s="115"/>
      <c r="V38" s="115"/>
      <c r="W38" s="115"/>
      <c r="X38" s="115"/>
      <c r="Y38" s="12"/>
      <c r="Z38" s="12"/>
      <c r="AA38" s="12"/>
      <c r="AB38" s="12"/>
      <c r="AC38" s="12"/>
      <c r="AD38" s="115"/>
      <c r="AE38" s="115"/>
      <c r="AF38" s="115"/>
      <c r="AG38" s="115"/>
      <c r="AH38" s="115"/>
      <c r="AI38" s="115"/>
      <c r="AJ38" s="115"/>
      <c r="AK38" s="115"/>
      <c r="AL38" s="12"/>
      <c r="AM38" s="3"/>
      <c r="AN38" s="13"/>
      <c r="AO38" s="13"/>
      <c r="AP38" s="13"/>
      <c r="AQ38" s="17"/>
      <c r="AR38" s="17"/>
      <c r="AS38" s="17"/>
      <c r="BE38" s="17"/>
      <c r="BF38" s="17"/>
      <c r="BG38" s="17"/>
      <c r="BH38" s="27"/>
      <c r="BI38" s="28"/>
      <c r="BJ38" s="17"/>
      <c r="BK38" s="17"/>
      <c r="BL38" s="17"/>
      <c r="BQ38" s="13"/>
      <c r="BR38" s="13"/>
      <c r="BS38" s="13"/>
      <c r="BT38" s="13"/>
      <c r="BU38" s="13"/>
      <c r="BV38" s="13"/>
      <c r="CE38" s="17"/>
      <c r="CF38" s="17"/>
      <c r="CG38" s="17"/>
      <c r="CH38" s="27"/>
      <c r="CI38" s="28"/>
      <c r="CJ38" s="28"/>
      <c r="CK38" s="28"/>
      <c r="CL38" s="29"/>
      <c r="CM38" s="3"/>
      <c r="CN38" s="13"/>
      <c r="CO38" s="13"/>
      <c r="CP38" s="13"/>
      <c r="CQ38" s="13"/>
      <c r="CR38" s="13"/>
      <c r="CS38" s="13"/>
      <c r="CT38" s="13"/>
      <c r="CU38" s="13"/>
      <c r="CV38" s="13"/>
    </row>
    <row r="39" spans="1:100" x14ac:dyDescent="0.4">
      <c r="A39" s="73">
        <v>29</v>
      </c>
      <c r="B39" s="73">
        <v>121</v>
      </c>
      <c r="C39" s="76" cm="1">
        <f t="array" ref="C39">fcr_XN(C$10,$E$1,$K$1,$B39,$I$1,$B$5,$C$5,$B$3,$C$3,$D$3,$E$3,$F$3,$G$3,$H$3,$D$5,$E$5,$F$5,$G$5,$H$5,$B$7,$C$7,$D$7,$E$7,$G$7)</f>
        <v>1.3228214025637823E-3</v>
      </c>
      <c r="D39" s="76" cm="1">
        <f t="array" ref="D39">fcr_XN(D$10,$E$1,$K$1,$B39,$I$1,$B$5,$C$5,$B$3,$C$3,$D$3,$E$3,$F$3,$G$3,$H$3,$D$5,$E$5,$F$5,$G$5,$H$5,$B$7,$C$7,$D$7,$E$7,$G$7)</f>
        <v>3.2116920592108016E-3</v>
      </c>
      <c r="E39" s="76" cm="1">
        <f t="array" ref="E39">fcr_XN(E$10,$E$1,$K$1,$B39,$I$1,$B$5,$C$5,$B$3,$C$3,$D$3,$E$3,$F$3,$G$3,$H$3,$D$5,$E$5,$F$5,$G$5,$H$5,$B$7,$C$7,$D$7,$E$7,$G$7)</f>
        <v>1.1060946087088476E-2</v>
      </c>
      <c r="F39" s="76" cm="1">
        <f t="array" ref="F39">fcr_XN(F$10,$E$1,$K$1,$B39,$I$1,$B$5,$C$5,$B$3,$C$3,$D$3,$E$3,$F$3,$G$3,$H$3,$D$5,$E$5,$F$5,$G$5,$H$5,$B$7,$C$7,$D$7,$E$7,$G$7)</f>
        <v>4.834099326830666E-2</v>
      </c>
      <c r="G39" s="76" cm="1">
        <f t="array" ref="G39">fcr_XN(G$10,$E$1,$K$1,$B39,$I$1,$B$5,$C$5,$B$3,$C$3,$D$3,$E$3,$F$3,$G$3,$H$3,$D$5,$E$5,$F$5,$G$5,$H$5,$B$7,$C$7,$D$7,$E$7,$G$7)</f>
        <v>6.7309481018367853E-2</v>
      </c>
      <c r="I39" s="76"/>
      <c r="J39" s="76"/>
      <c r="K39" s="76"/>
      <c r="L39" s="76"/>
      <c r="M39" s="76"/>
      <c r="N39" s="13"/>
      <c r="O39" s="13"/>
      <c r="P39" s="13"/>
      <c r="Q39" s="13"/>
      <c r="R39" s="13"/>
      <c r="S39" s="12"/>
      <c r="T39" s="12"/>
      <c r="U39" s="115"/>
      <c r="V39" s="115"/>
      <c r="W39" s="115"/>
      <c r="X39" s="115"/>
      <c r="Y39" s="12"/>
      <c r="Z39" s="12"/>
      <c r="AA39" s="12"/>
      <c r="AB39" s="12"/>
      <c r="AC39" s="12"/>
      <c r="AD39" s="115"/>
      <c r="AE39" s="115"/>
      <c r="AF39" s="115"/>
      <c r="AG39" s="115"/>
      <c r="AH39" s="115"/>
      <c r="AI39" s="115"/>
      <c r="AJ39" s="115"/>
      <c r="AK39" s="115"/>
      <c r="AL39" s="12"/>
      <c r="AM39" s="3"/>
      <c r="AN39" s="13"/>
      <c r="AO39" s="13"/>
      <c r="AP39" s="13"/>
      <c r="AQ39" s="17"/>
      <c r="AR39" s="17"/>
      <c r="AS39" s="17"/>
      <c r="BE39" s="17"/>
      <c r="BF39" s="17"/>
      <c r="BG39" s="17"/>
      <c r="BH39" s="27"/>
      <c r="BI39" s="28"/>
      <c r="BJ39" s="17"/>
      <c r="BK39" s="17"/>
      <c r="BL39" s="17"/>
      <c r="BQ39" s="13"/>
      <c r="BR39" s="13"/>
      <c r="BS39" s="13"/>
      <c r="BT39" s="13"/>
      <c r="BU39" s="13"/>
      <c r="BV39" s="13"/>
      <c r="CE39" s="17"/>
      <c r="CF39" s="17"/>
      <c r="CG39" s="17"/>
      <c r="CH39" s="27"/>
      <c r="CI39" s="28"/>
      <c r="CJ39" s="28"/>
      <c r="CK39" s="28"/>
      <c r="CL39" s="29"/>
      <c r="CM39" s="3"/>
      <c r="CN39" s="13"/>
      <c r="CO39" s="13"/>
      <c r="CP39" s="13"/>
      <c r="CQ39" s="13"/>
      <c r="CR39" s="13"/>
      <c r="CS39" s="13"/>
      <c r="CT39" s="13"/>
      <c r="CU39" s="13"/>
      <c r="CV39" s="13"/>
    </row>
    <row r="40" spans="1:100" x14ac:dyDescent="0.4">
      <c r="A40" s="73">
        <v>30</v>
      </c>
      <c r="B40" s="73">
        <v>131</v>
      </c>
      <c r="C40" s="76" cm="1">
        <f t="array" ref="C40">fcr_XN(C$10,$E$1,$K$1,$B40,$I$1,$B$5,$C$5,$B$3,$C$3,$D$3,$E$3,$F$3,$G$3,$H$3,$D$5,$E$5,$F$5,$G$5,$H$5,$B$7,$C$7,$D$7,$E$7,$G$7)</f>
        <v>1.1747536148543397E-3</v>
      </c>
      <c r="D40" s="76" cm="1">
        <f t="array" ref="D40">fcr_XN(D$10,$E$1,$K$1,$B40,$I$1,$B$5,$C$5,$B$3,$C$3,$D$3,$E$3,$F$3,$G$3,$H$3,$D$5,$E$5,$F$5,$G$5,$H$5,$B$7,$C$7,$D$7,$E$7,$G$7)</f>
        <v>2.8586416891689774E-3</v>
      </c>
      <c r="E40" s="76" cm="1">
        <f t="array" ref="E40">fcr_XN(E$10,$E$1,$K$1,$B40,$I$1,$B$5,$C$5,$B$3,$C$3,$D$3,$E$3,$F$3,$G$3,$H$3,$D$5,$E$5,$F$5,$G$5,$H$5,$B$7,$C$7,$D$7,$E$7,$G$7)</f>
        <v>9.9004003011916534E-3</v>
      </c>
      <c r="F40" s="76" cm="1">
        <f t="array" ref="F40">fcr_XN(F$10,$E$1,$K$1,$B40,$I$1,$B$5,$C$5,$B$3,$C$3,$D$3,$E$3,$F$3,$G$3,$H$3,$D$5,$E$5,$F$5,$G$5,$H$5,$B$7,$C$7,$D$7,$E$7,$G$7)</f>
        <v>4.3830789606893371E-2</v>
      </c>
      <c r="G40" s="76" cm="1">
        <f t="array" ref="G40">fcr_XN(G$10,$E$1,$K$1,$B40,$I$1,$B$5,$C$5,$B$3,$C$3,$D$3,$E$3,$F$3,$G$3,$H$3,$D$5,$E$5,$F$5,$G$5,$H$5,$B$7,$C$7,$D$7,$E$7,$G$7)</f>
        <v>6.1157574707664052E-2</v>
      </c>
      <c r="I40" s="76"/>
      <c r="J40" s="76"/>
      <c r="K40" s="76"/>
      <c r="L40" s="76"/>
      <c r="M40" s="76"/>
      <c r="N40" s="13"/>
      <c r="O40" s="13"/>
      <c r="P40" s="13"/>
      <c r="Q40" s="13"/>
      <c r="R40" s="13"/>
      <c r="S40" s="12"/>
      <c r="T40" s="12"/>
      <c r="U40" s="115"/>
      <c r="V40" s="115"/>
      <c r="W40" s="115"/>
      <c r="X40" s="115"/>
      <c r="Y40" s="12"/>
      <c r="Z40" s="12"/>
      <c r="AA40" s="12"/>
      <c r="AB40" s="12"/>
      <c r="AC40" s="12"/>
      <c r="AD40" s="115"/>
      <c r="AE40" s="115"/>
      <c r="AF40" s="115"/>
      <c r="AG40" s="115"/>
      <c r="AH40" s="115"/>
      <c r="AI40" s="115"/>
      <c r="AJ40" s="115"/>
      <c r="AK40" s="115"/>
      <c r="AL40" s="12"/>
      <c r="AM40" s="3"/>
      <c r="AN40" s="13"/>
      <c r="AO40" s="13"/>
      <c r="AP40" s="13"/>
      <c r="AQ40" s="17"/>
      <c r="AR40" s="17"/>
      <c r="AS40" s="17"/>
      <c r="BE40" s="17"/>
      <c r="BF40" s="17"/>
      <c r="BG40" s="17"/>
      <c r="BH40" s="27"/>
      <c r="BI40" s="28"/>
      <c r="BJ40" s="17"/>
      <c r="BK40" s="17"/>
      <c r="BL40" s="17"/>
      <c r="BQ40" s="13"/>
      <c r="BR40" s="13"/>
      <c r="BS40" s="13"/>
      <c r="BT40" s="13"/>
      <c r="BU40" s="13"/>
      <c r="BV40" s="13"/>
      <c r="CE40" s="17"/>
      <c r="CF40" s="17"/>
      <c r="CG40" s="17"/>
      <c r="CH40" s="27"/>
      <c r="CI40" s="28"/>
      <c r="CJ40" s="28"/>
      <c r="CK40" s="28"/>
      <c r="CL40" s="29"/>
      <c r="CM40" s="3"/>
      <c r="CN40" s="13"/>
      <c r="CO40" s="13"/>
      <c r="CP40" s="13"/>
      <c r="CQ40" s="13"/>
      <c r="CR40" s="13"/>
      <c r="CS40" s="13"/>
      <c r="CT40" s="13"/>
      <c r="CU40" s="13"/>
      <c r="CV40" s="13"/>
    </row>
    <row r="41" spans="1:100" x14ac:dyDescent="0.4">
      <c r="A41" s="73">
        <v>31</v>
      </c>
      <c r="B41" s="73">
        <v>141</v>
      </c>
      <c r="C41" s="76" cm="1">
        <f t="array" ref="C41">fcr_XN(C$10,$E$1,$K$1,$B41,$I$1,$B$5,$C$5,$B$3,$C$3,$D$3,$E$3,$F$3,$G$3,$H$3,$D$5,$E$5,$F$5,$G$5,$H$5,$B$7,$C$7,$D$7,$E$7,$G$7)</f>
        <v>1.0501047403498227E-3</v>
      </c>
      <c r="D41" s="76" cm="1">
        <f t="array" ref="D41">fcr_XN(D$10,$E$1,$K$1,$B41,$I$1,$B$5,$C$5,$B$3,$C$3,$D$3,$E$3,$F$3,$G$3,$H$3,$D$5,$E$5,$F$5,$G$5,$H$5,$B$7,$C$7,$D$7,$E$7,$G$7)</f>
        <v>2.5603088799484924E-3</v>
      </c>
      <c r="E41" s="76" cm="1">
        <f t="array" ref="E41">fcr_XN(E$10,$E$1,$K$1,$B41,$I$1,$B$5,$C$5,$B$3,$C$3,$D$3,$E$3,$F$3,$G$3,$H$3,$D$5,$E$5,$F$5,$G$5,$H$5,$B$7,$C$7,$D$7,$E$7,$G$7)</f>
        <v>8.9104094785982021E-3</v>
      </c>
      <c r="F41" s="76" cm="1">
        <f t="array" ref="F41">fcr_XN(F$10,$E$1,$K$1,$B41,$I$1,$B$5,$C$5,$B$3,$C$3,$D$3,$E$3,$F$3,$G$3,$H$3,$D$5,$E$5,$F$5,$G$5,$H$5,$B$7,$C$7,$D$7,$E$7,$G$7)</f>
        <v>3.9897210650337751E-2</v>
      </c>
      <c r="G41" s="76" cm="1">
        <f t="array" ref="G41">fcr_XN(G$10,$E$1,$K$1,$B41,$I$1,$B$5,$C$5,$B$3,$C$3,$D$3,$E$3,$F$3,$G$3,$H$3,$D$5,$E$5,$F$5,$G$5,$H$5,$B$7,$C$7,$D$7,$E$7,$G$7)</f>
        <v>5.5772907976271983E-2</v>
      </c>
      <c r="I41" s="76"/>
      <c r="J41" s="76"/>
      <c r="K41" s="76"/>
      <c r="L41" s="76"/>
      <c r="M41" s="76"/>
      <c r="N41" s="13"/>
      <c r="O41" s="13"/>
      <c r="P41" s="13"/>
      <c r="Q41" s="13"/>
      <c r="R41" s="13"/>
      <c r="S41" s="12"/>
      <c r="T41" s="12"/>
      <c r="U41" s="115"/>
      <c r="V41" s="115"/>
      <c r="W41" s="115"/>
      <c r="X41" s="115"/>
      <c r="Y41" s="12"/>
      <c r="Z41" s="12"/>
      <c r="AA41" s="12"/>
      <c r="AB41" s="12"/>
      <c r="AC41" s="12"/>
      <c r="AD41" s="115"/>
      <c r="AE41" s="115"/>
      <c r="AF41" s="115"/>
      <c r="AG41" s="115"/>
      <c r="AH41" s="115"/>
      <c r="AI41" s="115"/>
      <c r="AJ41" s="115"/>
      <c r="AK41" s="115"/>
      <c r="AL41" s="12"/>
      <c r="AM41" s="3"/>
      <c r="AN41" s="13"/>
      <c r="AO41" s="13"/>
      <c r="AP41" s="13"/>
      <c r="AQ41" s="17"/>
      <c r="AR41" s="17"/>
      <c r="AS41" s="17"/>
      <c r="BE41" s="17"/>
      <c r="BF41" s="17"/>
      <c r="BG41" s="17"/>
      <c r="BH41" s="27"/>
      <c r="BI41" s="28"/>
      <c r="BJ41" s="17"/>
      <c r="BK41" s="17"/>
      <c r="BL41" s="17"/>
      <c r="BQ41" s="13"/>
      <c r="BR41" s="13"/>
      <c r="BS41" s="13"/>
      <c r="BT41" s="13"/>
      <c r="BU41" s="13"/>
      <c r="BV41" s="13"/>
      <c r="CE41" s="17"/>
      <c r="CF41" s="17"/>
      <c r="CG41" s="17"/>
      <c r="CH41" s="27"/>
      <c r="CI41" s="28"/>
      <c r="CJ41" s="28"/>
      <c r="CK41" s="28"/>
      <c r="CL41" s="29"/>
      <c r="CM41" s="3"/>
      <c r="CN41" s="13"/>
      <c r="CO41" s="13"/>
      <c r="CP41" s="13"/>
      <c r="CQ41" s="13"/>
      <c r="CR41" s="13"/>
      <c r="CS41" s="13"/>
      <c r="CT41" s="13"/>
      <c r="CU41" s="13"/>
      <c r="CV41" s="13"/>
    </row>
    <row r="42" spans="1:100" x14ac:dyDescent="0.4">
      <c r="A42" s="73">
        <v>32</v>
      </c>
      <c r="B42" s="73">
        <v>151</v>
      </c>
      <c r="C42" s="76" cm="1">
        <f t="array" ref="C42">fcr_XN(C$10,$E$1,$K$1,$B42,$I$1,$B$5,$C$5,$B$3,$C$3,$D$3,$E$3,$F$3,$G$3,$H$3,$D$5,$E$5,$F$5,$G$5,$H$5,$B$7,$C$7,$D$7,$E$7,$G$7)</f>
        <v>9.4384930744052201E-4</v>
      </c>
      <c r="D42" s="76" cm="1">
        <f t="array" ref="D42">fcr_XN(D$10,$E$1,$K$1,$B42,$I$1,$B$5,$C$5,$B$3,$C$3,$D$3,$E$3,$F$3,$G$3,$H$3,$D$5,$E$5,$F$5,$G$5,$H$5,$B$7,$C$7,$D$7,$E$7,$G$7)</f>
        <v>2.3051610508360194E-3</v>
      </c>
      <c r="E42" s="76" cm="1">
        <f t="array" ref="E42">fcr_XN(E$10,$E$1,$K$1,$B42,$I$1,$B$5,$C$5,$B$3,$C$3,$D$3,$E$3,$F$3,$G$3,$H$3,$D$5,$E$5,$F$5,$G$5,$H$5,$B$7,$C$7,$D$7,$E$7,$G$7)</f>
        <v>8.0566860390791552E-3</v>
      </c>
      <c r="F42" s="76" cm="1">
        <f t="array" ref="F42">fcr_XN(F$10,$E$1,$K$1,$B42,$I$1,$B$5,$C$5,$B$3,$C$3,$D$3,$E$3,$F$3,$G$3,$H$3,$D$5,$E$5,$F$5,$G$5,$H$5,$B$7,$C$7,$D$7,$E$7,$G$7)</f>
        <v>3.6437880274782092E-2</v>
      </c>
      <c r="G42" s="76" cm="1">
        <f t="array" ref="G42">fcr_XN(G$10,$E$1,$K$1,$B42,$I$1,$B$5,$C$5,$B$3,$C$3,$D$3,$E$3,$F$3,$G$3,$H$3,$D$5,$E$5,$F$5,$G$5,$H$5,$B$7,$C$7,$D$7,$E$7,$G$7)</f>
        <v>5.1022185378953783E-2</v>
      </c>
      <c r="I42" s="76"/>
      <c r="J42" s="76"/>
      <c r="K42" s="76"/>
      <c r="L42" s="76"/>
      <c r="M42" s="76"/>
      <c r="N42" s="13"/>
      <c r="O42" s="13"/>
      <c r="P42" s="13"/>
      <c r="Q42" s="13"/>
      <c r="R42" s="13"/>
      <c r="S42" s="12"/>
      <c r="T42" s="12"/>
      <c r="U42" s="115"/>
      <c r="V42" s="115"/>
      <c r="W42" s="115"/>
      <c r="X42" s="115"/>
      <c r="Y42" s="12"/>
      <c r="Z42" s="12"/>
      <c r="AA42" s="12"/>
      <c r="AB42" s="12"/>
      <c r="AC42" s="12"/>
      <c r="AD42" s="115"/>
      <c r="AE42" s="115"/>
      <c r="AF42" s="115"/>
      <c r="AG42" s="115"/>
      <c r="AH42" s="115"/>
      <c r="AI42" s="115"/>
      <c r="AJ42" s="115"/>
      <c r="AK42" s="115"/>
      <c r="AL42" s="12"/>
      <c r="AM42" s="3"/>
      <c r="AN42" s="13"/>
      <c r="AO42" s="13"/>
      <c r="AP42" s="13"/>
      <c r="AQ42" s="17"/>
      <c r="AR42" s="17"/>
      <c r="AS42" s="17"/>
      <c r="BE42" s="17"/>
      <c r="BF42" s="17"/>
      <c r="BG42" s="17"/>
      <c r="BH42" s="27"/>
      <c r="BI42" s="28"/>
      <c r="BJ42" s="17"/>
      <c r="BK42" s="17"/>
      <c r="BL42" s="17"/>
      <c r="BQ42" s="13"/>
      <c r="BR42" s="13"/>
      <c r="BS42" s="13"/>
      <c r="BT42" s="13"/>
      <c r="BU42" s="13"/>
      <c r="BV42" s="13"/>
      <c r="CE42" s="17"/>
      <c r="CF42" s="17"/>
      <c r="CG42" s="17"/>
      <c r="CH42" s="27"/>
      <c r="CI42" s="28"/>
      <c r="CJ42" s="28"/>
      <c r="CK42" s="28"/>
      <c r="CL42" s="29"/>
      <c r="CM42" s="3"/>
      <c r="CN42" s="13"/>
      <c r="CO42" s="13"/>
      <c r="CP42" s="13"/>
      <c r="CQ42" s="13"/>
      <c r="CR42" s="13"/>
      <c r="CS42" s="13"/>
      <c r="CT42" s="13"/>
      <c r="CU42" s="13"/>
      <c r="CV42" s="13"/>
    </row>
    <row r="43" spans="1:100" x14ac:dyDescent="0.4">
      <c r="A43" s="73">
        <v>33</v>
      </c>
      <c r="B43" s="73">
        <v>161</v>
      </c>
      <c r="C43" s="76" cm="1">
        <f t="array" ref="C43">fcr_XN(C$10,$E$1,$K$1,$B43,$I$1,$B$5,$C$5,$B$3,$C$3,$D$3,$E$3,$F$3,$G$3,$H$3,$D$5,$E$5,$F$5,$G$5,$H$5,$B$7,$C$7,$D$7,$E$7,$G$7)</f>
        <v>8.5230126948302083E-4</v>
      </c>
      <c r="D43" s="76" cm="1">
        <f t="array" ref="D43">fcr_XN(D$10,$E$1,$K$1,$B43,$I$1,$B$5,$C$5,$B$3,$C$3,$D$3,$E$3,$F$3,$G$3,$H$3,$D$5,$E$5,$F$5,$G$5,$H$5,$B$7,$C$7,$D$7,$E$7,$G$7)</f>
        <v>2.0846927662336069E-3</v>
      </c>
      <c r="E43" s="76" cm="1">
        <f t="array" ref="E43">fcr_XN(E$10,$E$1,$K$1,$B43,$I$1,$B$5,$C$5,$B$3,$C$3,$D$3,$E$3,$F$3,$G$3,$H$3,$D$5,$E$5,$F$5,$G$5,$H$5,$B$7,$C$7,$D$7,$E$7,$G$7)</f>
        <v>7.313590840009856E-3</v>
      </c>
      <c r="F43" s="76" cm="1">
        <f t="array" ref="F43">fcr_XN(F$10,$E$1,$K$1,$B43,$I$1,$B$5,$C$5,$B$3,$C$3,$D$3,$E$3,$F$3,$G$3,$H$3,$D$5,$E$5,$F$5,$G$5,$H$5,$B$7,$C$7,$D$7,$E$7,$G$7)</f>
        <v>3.3373754933117596E-2</v>
      </c>
      <c r="G43" s="76" cm="1">
        <f t="array" ref="G43">fcr_XN(G$10,$E$1,$K$1,$B43,$I$1,$B$5,$C$5,$B$3,$C$3,$D$3,$E$3,$F$3,$G$3,$H$3,$D$5,$E$5,$F$5,$G$5,$H$5,$B$7,$C$7,$D$7,$E$7,$G$7)</f>
        <v>4.6801985399181519E-2</v>
      </c>
      <c r="I43" s="76"/>
      <c r="J43" s="76"/>
      <c r="K43" s="76"/>
      <c r="L43" s="76"/>
      <c r="M43" s="76"/>
      <c r="N43" s="13"/>
      <c r="O43" s="13"/>
      <c r="P43" s="13"/>
      <c r="Q43" s="13"/>
      <c r="R43" s="13"/>
      <c r="S43" s="12"/>
      <c r="T43" s="12"/>
      <c r="U43" s="115"/>
      <c r="V43" s="115"/>
      <c r="W43" s="115"/>
      <c r="X43" s="115"/>
      <c r="Y43" s="12"/>
      <c r="Z43" s="12"/>
      <c r="AA43" s="12"/>
      <c r="AB43" s="12"/>
      <c r="AC43" s="12"/>
      <c r="AD43" s="115"/>
      <c r="AE43" s="115"/>
      <c r="AF43" s="115"/>
      <c r="AG43" s="115"/>
      <c r="AH43" s="115"/>
      <c r="AI43" s="115"/>
      <c r="AJ43" s="115"/>
      <c r="AK43" s="115"/>
      <c r="AL43" s="12"/>
      <c r="AM43" s="3"/>
      <c r="AN43" s="13"/>
      <c r="AO43" s="13"/>
      <c r="AP43" s="13"/>
      <c r="AQ43" s="17"/>
      <c r="AR43" s="17"/>
      <c r="AS43" s="17"/>
      <c r="BE43" s="17"/>
      <c r="BF43" s="17"/>
      <c r="BG43" s="17"/>
      <c r="BH43" s="27"/>
      <c r="BI43" s="28"/>
      <c r="BJ43" s="17"/>
      <c r="BK43" s="17"/>
      <c r="BL43" s="17"/>
      <c r="BQ43" s="13"/>
      <c r="BR43" s="13"/>
      <c r="BS43" s="13"/>
      <c r="BT43" s="13"/>
      <c r="BU43" s="13"/>
      <c r="BV43" s="13"/>
      <c r="CE43" s="17"/>
      <c r="CF43" s="17"/>
      <c r="CG43" s="17"/>
      <c r="CH43" s="27"/>
      <c r="CI43" s="28"/>
      <c r="CJ43" s="28"/>
      <c r="CK43" s="28"/>
      <c r="CL43" s="29"/>
      <c r="CM43" s="3"/>
      <c r="CN43" s="13"/>
      <c r="CO43" s="13"/>
      <c r="CP43" s="13"/>
      <c r="CQ43" s="13"/>
      <c r="CR43" s="13"/>
      <c r="CS43" s="13"/>
      <c r="CT43" s="13"/>
      <c r="CU43" s="13"/>
      <c r="CV43" s="13"/>
    </row>
    <row r="44" spans="1:100" x14ac:dyDescent="0.4">
      <c r="A44" s="73">
        <v>34</v>
      </c>
      <c r="B44" s="73">
        <v>171</v>
      </c>
      <c r="C44" s="76" cm="1">
        <f t="array" ref="C44">fcr_XN(C$10,$E$1,$K$1,$B44,$I$1,$B$5,$C$5,$B$3,$C$3,$D$3,$E$3,$F$3,$G$3,$H$3,$D$5,$E$5,$F$5,$G$5,$H$5,$B$7,$C$7,$D$7,$E$7,$G$7)</f>
        <v>7.726985141447636E-4</v>
      </c>
      <c r="D44" s="76" cm="1">
        <f t="array" ref="D44">fcr_XN(D$10,$E$1,$K$1,$B44,$I$1,$B$5,$C$5,$B$3,$C$3,$D$3,$E$3,$F$3,$G$3,$H$3,$D$5,$E$5,$F$5,$G$5,$H$5,$B$7,$C$7,$D$7,$E$7,$G$7)</f>
        <v>1.8924994600274829E-3</v>
      </c>
      <c r="E44" s="76" cm="1">
        <f t="array" ref="E44">fcr_XN(E$10,$E$1,$K$1,$B44,$I$1,$B$5,$C$5,$B$3,$C$3,$D$3,$E$3,$F$3,$G$3,$H$3,$D$5,$E$5,$F$5,$G$5,$H$5,$B$7,$C$7,$D$7,$E$7,$G$7)</f>
        <v>6.661579010347171E-3</v>
      </c>
      <c r="F44" s="76" cm="1">
        <f t="array" ref="F44">fcr_XN(F$10,$E$1,$K$1,$B44,$I$1,$B$5,$C$5,$B$3,$C$3,$D$3,$E$3,$F$3,$G$3,$H$3,$D$5,$E$5,$F$5,$G$5,$H$5,$B$7,$C$7,$D$7,$E$7,$G$7)</f>
        <v>3.0642812506002912E-2</v>
      </c>
      <c r="G44" s="76" cm="1">
        <f t="array" ref="G44">fcr_XN(G$10,$E$1,$K$1,$B44,$I$1,$B$5,$C$5,$B$3,$C$3,$D$3,$E$3,$F$3,$G$3,$H$3,$D$5,$E$5,$F$5,$G$5,$H$5,$B$7,$C$7,$D$7,$E$7,$G$7)</f>
        <v>4.3030792275326399E-2</v>
      </c>
      <c r="I44" s="76"/>
      <c r="J44" s="76"/>
      <c r="K44" s="76"/>
      <c r="L44" s="76"/>
      <c r="M44" s="76"/>
      <c r="N44" s="13"/>
      <c r="O44" s="13"/>
      <c r="P44" s="13"/>
      <c r="Q44" s="13"/>
      <c r="R44" s="13"/>
      <c r="S44" s="12"/>
      <c r="T44" s="12"/>
      <c r="U44" s="115"/>
      <c r="V44" s="115"/>
      <c r="W44" s="115"/>
      <c r="X44" s="115"/>
      <c r="Y44" s="12"/>
      <c r="Z44" s="12"/>
      <c r="AA44" s="12"/>
      <c r="AB44" s="12"/>
      <c r="AC44" s="12"/>
      <c r="AD44" s="115"/>
      <c r="AE44" s="115"/>
      <c r="AF44" s="115"/>
      <c r="AG44" s="115"/>
      <c r="AH44" s="115"/>
      <c r="AI44" s="115"/>
      <c r="AJ44" s="115"/>
      <c r="AK44" s="115"/>
      <c r="AL44" s="12"/>
      <c r="AM44" s="3"/>
      <c r="AN44" s="13"/>
      <c r="AO44" s="13"/>
      <c r="AP44" s="13"/>
      <c r="AQ44" s="17"/>
      <c r="AR44" s="17"/>
      <c r="AS44" s="17"/>
      <c r="BE44" s="17"/>
      <c r="BF44" s="17"/>
      <c r="BG44" s="17"/>
      <c r="BH44" s="27"/>
      <c r="BI44" s="28"/>
      <c r="BJ44" s="17"/>
      <c r="BK44" s="17"/>
      <c r="BL44" s="17"/>
      <c r="BQ44" s="13"/>
      <c r="BR44" s="13"/>
      <c r="BS44" s="13"/>
      <c r="BT44" s="13"/>
      <c r="BU44" s="13"/>
      <c r="BV44" s="13"/>
      <c r="CE44" s="17"/>
      <c r="CF44" s="17"/>
      <c r="CG44" s="17"/>
      <c r="CH44" s="27"/>
      <c r="CI44" s="28"/>
      <c r="CJ44" s="28"/>
      <c r="CK44" s="28"/>
      <c r="CL44" s="29"/>
      <c r="CM44" s="3"/>
      <c r="CN44" s="13"/>
      <c r="CO44" s="13"/>
      <c r="CP44" s="13"/>
      <c r="CQ44" s="13"/>
      <c r="CR44" s="13"/>
      <c r="CS44" s="13"/>
      <c r="CT44" s="13"/>
      <c r="CU44" s="13"/>
      <c r="CV44" s="13"/>
    </row>
    <row r="45" spans="1:100" x14ac:dyDescent="0.4">
      <c r="A45" s="73">
        <v>35</v>
      </c>
      <c r="B45" s="73">
        <v>181</v>
      </c>
      <c r="C45" s="76" cm="1">
        <f t="array" ref="C45">fcr_XN(C$10,$E$1,$K$1,$B45,$I$1,$B$5,$C$5,$B$3,$C$3,$D$3,$E$3,$F$3,$G$3,$H$3,$D$5,$E$5,$F$5,$G$5,$H$5,$B$7,$C$7,$D$7,$E$7,$G$7)</f>
        <v>7.0293185636282186E-4</v>
      </c>
      <c r="D45" s="76" cm="1">
        <f t="array" ref="D45">fcr_XN(D$10,$E$1,$K$1,$B45,$I$1,$B$5,$C$5,$B$3,$C$3,$D$3,$E$3,$F$3,$G$3,$H$3,$D$5,$E$5,$F$5,$G$5,$H$5,$B$7,$C$7,$D$7,$E$7,$G$7)</f>
        <v>1.7236692008022166E-3</v>
      </c>
      <c r="E45" s="76" cm="1">
        <f t="array" ref="E45">fcr_XN(E$10,$E$1,$K$1,$B45,$I$1,$B$5,$C$5,$B$3,$C$3,$D$3,$E$3,$F$3,$G$3,$H$3,$D$5,$E$5,$F$5,$G$5,$H$5,$B$7,$C$7,$D$7,$E$7,$G$7)</f>
        <v>6.085494398840585E-3</v>
      </c>
      <c r="F45" s="76" cm="1">
        <f t="array" ref="F45">fcr_XN(F$10,$E$1,$K$1,$B45,$I$1,$B$5,$C$5,$B$3,$C$3,$D$3,$E$3,$F$3,$G$3,$H$3,$D$5,$E$5,$F$5,$G$5,$H$5,$B$7,$C$7,$D$7,$E$7,$G$7)</f>
        <v>2.8195675387230387E-2</v>
      </c>
      <c r="G45" s="76" cm="1">
        <f t="array" ref="G45">fcr_XN(G$10,$E$1,$K$1,$B45,$I$1,$B$5,$C$5,$B$3,$C$3,$D$3,$E$3,$F$3,$G$3,$H$3,$D$5,$E$5,$F$5,$G$5,$H$5,$B$7,$C$7,$D$7,$E$7,$G$7)</f>
        <v>3.9643439110636142E-2</v>
      </c>
      <c r="I45" s="76"/>
      <c r="J45" s="76"/>
      <c r="K45" s="76"/>
      <c r="L45" s="76"/>
      <c r="M45" s="76"/>
      <c r="N45" s="13"/>
      <c r="O45" s="13"/>
      <c r="P45" s="13"/>
      <c r="Q45" s="13"/>
      <c r="R45" s="13"/>
      <c r="S45" s="12"/>
      <c r="T45" s="12"/>
      <c r="U45" s="115"/>
      <c r="V45" s="115"/>
      <c r="W45" s="115"/>
      <c r="X45" s="115"/>
      <c r="Y45" s="12"/>
      <c r="Z45" s="12"/>
      <c r="AA45" s="12"/>
      <c r="AB45" s="12"/>
      <c r="AC45" s="12"/>
      <c r="AD45" s="115"/>
      <c r="AE45" s="115"/>
      <c r="AF45" s="115"/>
      <c r="AG45" s="115"/>
      <c r="AH45" s="115"/>
      <c r="AI45" s="115"/>
      <c r="AJ45" s="115"/>
      <c r="AK45" s="115"/>
      <c r="AL45" s="12"/>
      <c r="AM45" s="3"/>
      <c r="AN45" s="13"/>
      <c r="AO45" s="13"/>
      <c r="AP45" s="13"/>
      <c r="AQ45" s="17"/>
      <c r="AR45" s="17"/>
      <c r="AS45" s="17"/>
      <c r="BE45" s="17"/>
      <c r="BF45" s="17"/>
      <c r="BG45" s="17"/>
      <c r="BH45" s="27"/>
      <c r="BI45" s="28"/>
      <c r="BJ45" s="17"/>
      <c r="BK45" s="17"/>
      <c r="BL45" s="17"/>
      <c r="BQ45" s="13"/>
      <c r="BR45" s="13"/>
      <c r="BS45" s="13"/>
      <c r="BT45" s="13"/>
      <c r="BU45" s="13"/>
      <c r="BV45" s="13"/>
      <c r="CE45" s="17"/>
      <c r="CF45" s="17"/>
      <c r="CG45" s="17"/>
      <c r="CH45" s="27"/>
      <c r="CI45" s="28"/>
      <c r="CJ45" s="28"/>
      <c r="CK45" s="28"/>
      <c r="CL45" s="29"/>
      <c r="CM45" s="3"/>
      <c r="CN45" s="13"/>
      <c r="CO45" s="13"/>
      <c r="CP45" s="13"/>
      <c r="CQ45" s="13"/>
      <c r="CR45" s="13"/>
      <c r="CS45" s="13"/>
      <c r="CT45" s="13"/>
      <c r="CU45" s="13"/>
      <c r="CV45" s="13"/>
    </row>
    <row r="46" spans="1:100" x14ac:dyDescent="0.4">
      <c r="A46" s="73">
        <v>36</v>
      </c>
      <c r="B46" s="73">
        <v>191</v>
      </c>
      <c r="C46" s="76" cm="1">
        <f t="array" ref="C46">fcr_XN(C$10,$E$1,$K$1,$B46,$I$1,$B$5,$C$5,$B$3,$C$3,$D$3,$E$3,$F$3,$G$3,$H$3,$D$5,$E$5,$F$5,$G$5,$H$5,$B$7,$C$7,$D$7,$E$7,$G$7)</f>
        <v>6.4136346855322914E-4</v>
      </c>
      <c r="D46" s="76" cm="1">
        <f t="array" ref="D46">fcr_XN(D$10,$E$1,$K$1,$B46,$I$1,$B$5,$C$5,$B$3,$C$3,$D$3,$E$3,$F$3,$G$3,$H$3,$D$5,$E$5,$F$5,$G$5,$H$5,$B$7,$C$7,$D$7,$E$7,$G$7)</f>
        <v>1.5743727702590561E-3</v>
      </c>
      <c r="E46" s="76" cm="1">
        <f t="array" ref="E46">fcr_XN(E$10,$E$1,$K$1,$B46,$I$1,$B$5,$C$5,$B$3,$C$3,$D$3,$E$3,$F$3,$G$3,$H$3,$D$5,$E$5,$F$5,$G$5,$H$5,$B$7,$C$7,$D$7,$E$7,$G$7)</f>
        <v>5.5734029226885799E-3</v>
      </c>
      <c r="F46" s="76" cm="1">
        <f t="array" ref="F46">fcr_XN(F$10,$E$1,$K$1,$B46,$I$1,$B$5,$C$5,$B$3,$C$3,$D$3,$E$3,$F$3,$G$3,$H$3,$D$5,$E$5,$F$5,$G$5,$H$5,$B$7,$C$7,$D$7,$E$7,$G$7)</f>
        <v>2.5992513429607827E-2</v>
      </c>
      <c r="G46" s="76" cm="1">
        <f t="array" ref="G46">fcr_XN(G$10,$E$1,$K$1,$B46,$I$1,$B$5,$C$5,$B$3,$C$3,$D$3,$E$3,$F$3,$G$3,$H$3,$D$5,$E$5,$F$5,$G$5,$H$5,$B$7,$C$7,$D$7,$E$7,$G$7)</f>
        <v>3.6587156121350009E-2</v>
      </c>
      <c r="I46" s="76"/>
      <c r="J46" s="76"/>
      <c r="K46" s="76"/>
      <c r="L46" s="76"/>
      <c r="M46" s="76"/>
      <c r="N46" s="13"/>
      <c r="O46" s="13"/>
      <c r="P46" s="13"/>
      <c r="Q46" s="13"/>
      <c r="R46" s="13"/>
      <c r="S46" s="12"/>
      <c r="T46" s="12"/>
      <c r="U46" s="115"/>
      <c r="V46" s="115"/>
      <c r="W46" s="115"/>
      <c r="X46" s="115"/>
      <c r="Y46" s="12"/>
      <c r="Z46" s="12"/>
      <c r="AA46" s="12"/>
      <c r="AB46" s="12"/>
      <c r="AC46" s="12"/>
      <c r="AD46" s="115"/>
      <c r="AE46" s="115"/>
      <c r="AF46" s="115"/>
      <c r="AG46" s="115"/>
      <c r="AH46" s="115"/>
      <c r="AI46" s="115"/>
      <c r="AJ46" s="115"/>
      <c r="AK46" s="115"/>
      <c r="AL46" s="12"/>
      <c r="AM46" s="3"/>
      <c r="AN46" s="13"/>
      <c r="AO46" s="13"/>
      <c r="AP46" s="13"/>
      <c r="AQ46" s="17"/>
      <c r="AR46" s="17"/>
      <c r="AS46" s="17"/>
      <c r="BE46" s="17"/>
      <c r="BF46" s="17"/>
      <c r="BG46" s="17"/>
      <c r="BH46" s="27"/>
      <c r="BI46" s="28"/>
      <c r="BJ46" s="17"/>
      <c r="BK46" s="17"/>
      <c r="BL46" s="17"/>
      <c r="BQ46" s="13"/>
      <c r="BR46" s="13"/>
      <c r="BS46" s="13"/>
      <c r="BT46" s="13"/>
      <c r="BU46" s="13"/>
      <c r="BV46" s="13"/>
      <c r="CE46" s="17"/>
      <c r="CF46" s="17"/>
      <c r="CG46" s="17"/>
      <c r="CH46" s="27"/>
      <c r="CI46" s="28"/>
      <c r="CJ46" s="28"/>
      <c r="CK46" s="28"/>
      <c r="CL46" s="29"/>
      <c r="CM46" s="3"/>
      <c r="CN46" s="13"/>
      <c r="CO46" s="13"/>
      <c r="CP46" s="13"/>
      <c r="CQ46" s="13"/>
      <c r="CR46" s="13"/>
      <c r="CS46" s="13"/>
      <c r="CT46" s="13"/>
      <c r="CU46" s="13"/>
      <c r="CV46" s="13"/>
    </row>
    <row r="47" spans="1:100" x14ac:dyDescent="0.4">
      <c r="A47" s="73">
        <v>37</v>
      </c>
      <c r="B47" s="73">
        <v>201</v>
      </c>
      <c r="C47" s="76" cm="1">
        <f t="array" ref="C47">fcr_XN(C$10,$E$1,$K$1,$B47,$I$1,$B$5,$C$5,$B$3,$C$3,$D$3,$E$3,$F$3,$G$3,$H$3,$D$5,$E$5,$F$5,$G$5,$H$5,$B$7,$C$7,$D$7,$E$7,$G$7)</f>
        <v>5.8670231868482076E-4</v>
      </c>
      <c r="D47" s="76" cm="1">
        <f t="array" ref="D47">fcr_XN(D$10,$E$1,$K$1,$B47,$I$1,$B$5,$C$5,$B$3,$C$3,$D$3,$E$3,$F$3,$G$3,$H$3,$D$5,$E$5,$F$5,$G$5,$H$5,$B$7,$C$7,$D$7,$E$7,$G$7)</f>
        <v>1.4415809647437396E-3</v>
      </c>
      <c r="E47" s="76" cm="1">
        <f t="array" ref="E47">fcr_XN(E$10,$E$1,$K$1,$B47,$I$1,$B$5,$C$5,$B$3,$C$3,$D$3,$E$3,$F$3,$G$3,$H$3,$D$5,$E$5,$F$5,$G$5,$H$5,$B$7,$C$7,$D$7,$E$7,$G$7)</f>
        <v>5.1157772760217291E-3</v>
      </c>
      <c r="F47" s="76" cm="1">
        <f t="array" ref="F47">fcr_XN(F$10,$E$1,$K$1,$B47,$I$1,$B$5,$C$5,$B$3,$C$3,$D$3,$E$3,$F$3,$G$3,$H$3,$D$5,$E$5,$F$5,$G$5,$H$5,$B$7,$C$7,$D$7,$E$7,$G$7)</f>
        <v>2.400081264723837E-2</v>
      </c>
      <c r="G47" s="76" cm="1">
        <f t="array" ref="G47">fcr_XN(G$10,$E$1,$K$1,$B47,$I$1,$B$5,$C$5,$B$3,$C$3,$D$3,$E$3,$F$3,$G$3,$H$3,$D$5,$E$5,$F$5,$G$5,$H$5,$B$7,$C$7,$D$7,$E$7,$G$7)</f>
        <v>3.3818710585205372E-2</v>
      </c>
      <c r="I47" s="76"/>
      <c r="J47" s="76"/>
      <c r="K47" s="76"/>
      <c r="L47" s="76"/>
      <c r="M47" s="76"/>
      <c r="N47" s="13"/>
      <c r="O47" s="13"/>
      <c r="P47" s="13"/>
      <c r="Q47" s="13"/>
      <c r="R47" s="13"/>
      <c r="S47" s="12"/>
      <c r="T47" s="12"/>
      <c r="U47" s="115"/>
      <c r="V47" s="115"/>
      <c r="W47" s="115"/>
      <c r="X47" s="115"/>
      <c r="Y47" s="12"/>
      <c r="Z47" s="12"/>
      <c r="AA47" s="12"/>
      <c r="AB47" s="12"/>
      <c r="AC47" s="12"/>
      <c r="AD47" s="115"/>
      <c r="AE47" s="115"/>
      <c r="AF47" s="115"/>
      <c r="AG47" s="115"/>
      <c r="AH47" s="115"/>
      <c r="AI47" s="115"/>
      <c r="AJ47" s="115"/>
      <c r="AK47" s="115"/>
      <c r="AL47" s="12"/>
      <c r="AM47" s="3"/>
      <c r="AN47" s="13"/>
      <c r="AO47" s="13"/>
      <c r="AP47" s="13"/>
      <c r="AQ47" s="17"/>
      <c r="AR47" s="17"/>
      <c r="AS47" s="17"/>
      <c r="BE47" s="17"/>
      <c r="BF47" s="17"/>
      <c r="BG47" s="17"/>
      <c r="BH47" s="27"/>
      <c r="BI47" s="28"/>
      <c r="BJ47" s="17"/>
      <c r="BK47" s="17"/>
      <c r="BL47" s="17"/>
      <c r="BQ47" s="13"/>
      <c r="BR47" s="13"/>
      <c r="BS47" s="13"/>
      <c r="BT47" s="13"/>
      <c r="BU47" s="13"/>
      <c r="BV47" s="13"/>
      <c r="CE47" s="17"/>
      <c r="CF47" s="17"/>
      <c r="CG47" s="17"/>
      <c r="CH47" s="27"/>
      <c r="CI47" s="28"/>
      <c r="CJ47" s="28"/>
      <c r="CK47" s="28"/>
      <c r="CL47" s="29"/>
      <c r="CM47" s="3"/>
      <c r="CN47" s="13"/>
      <c r="CO47" s="13"/>
      <c r="CP47" s="13"/>
      <c r="CQ47" s="13"/>
      <c r="CR47" s="13"/>
      <c r="CS47" s="13"/>
      <c r="CT47" s="13"/>
      <c r="CU47" s="13"/>
      <c r="CV47" s="13"/>
    </row>
    <row r="48" spans="1:100" x14ac:dyDescent="0.4">
      <c r="A48" s="73">
        <v>38</v>
      </c>
      <c r="B48" s="73">
        <v>211</v>
      </c>
      <c r="C48" s="76" cm="1">
        <f t="array" ref="C48">fcr_XN(C$10,$E$1,$K$1,$B48,$I$1,$B$5,$C$5,$B$3,$C$3,$D$3,$E$3,$F$3,$G$3,$H$3,$D$5,$E$5,$F$5,$G$5,$H$5,$B$7,$C$7,$D$7,$E$7,$G$7)</f>
        <v>5.3791689895981776E-4</v>
      </c>
      <c r="D48" s="76" cm="1">
        <f t="array" ref="D48">fcr_XN(D$10,$E$1,$K$1,$B48,$I$1,$B$5,$C$5,$B$3,$C$3,$D$3,$E$3,$F$3,$G$3,$H$3,$D$5,$E$5,$F$5,$G$5,$H$5,$B$7,$C$7,$D$7,$E$7,$G$7)</f>
        <v>1.3228655958302138E-3</v>
      </c>
      <c r="E48" s="76" cm="1">
        <f t="array" ref="E48">fcr_XN(E$10,$E$1,$K$1,$B48,$I$1,$B$5,$C$5,$B$3,$C$3,$D$3,$E$3,$F$3,$G$3,$H$3,$D$5,$E$5,$F$5,$G$5,$H$5,$B$7,$C$7,$D$7,$E$7,$G$7)</f>
        <v>4.7049161600125943E-3</v>
      </c>
      <c r="F48" s="76" cm="1">
        <f t="array" ref="F48">fcr_XN(F$10,$E$1,$K$1,$B48,$I$1,$B$5,$C$5,$B$3,$C$3,$D$3,$E$3,$F$3,$G$3,$H$3,$D$5,$E$5,$F$5,$G$5,$H$5,$B$7,$C$7,$D$7,$E$7,$G$7)</f>
        <v>2.2193741272493364E-2</v>
      </c>
      <c r="G48" s="76" cm="1">
        <f t="array" ref="G48">fcr_XN(G$10,$E$1,$K$1,$B48,$I$1,$B$5,$C$5,$B$3,$C$3,$D$3,$E$3,$F$3,$G$3,$H$3,$D$5,$E$5,$F$5,$G$5,$H$5,$B$7,$C$7,$D$7,$E$7,$G$7)</f>
        <v>3.1302303764168662E-2</v>
      </c>
      <c r="I48" s="76"/>
      <c r="J48" s="76"/>
      <c r="K48" s="76"/>
      <c r="L48" s="76"/>
      <c r="M48" s="76"/>
      <c r="N48" s="13"/>
      <c r="O48" s="13"/>
      <c r="P48" s="13"/>
      <c r="Q48" s="13"/>
      <c r="R48" s="13"/>
      <c r="S48" s="12"/>
      <c r="T48" s="12"/>
      <c r="U48" s="115"/>
      <c r="V48" s="115"/>
      <c r="W48" s="115"/>
      <c r="X48" s="115"/>
      <c r="Y48" s="12"/>
      <c r="Z48" s="12"/>
      <c r="AA48" s="12"/>
      <c r="AB48" s="12"/>
      <c r="AC48" s="12"/>
      <c r="AD48" s="115"/>
      <c r="AE48" s="115"/>
      <c r="AF48" s="115"/>
      <c r="AG48" s="115"/>
      <c r="AH48" s="115"/>
      <c r="AI48" s="115"/>
      <c r="AJ48" s="115"/>
      <c r="AK48" s="115"/>
      <c r="AL48" s="12"/>
      <c r="AM48" s="3"/>
      <c r="AN48" s="13"/>
      <c r="AO48" s="13"/>
      <c r="AP48" s="13"/>
      <c r="AQ48" s="17"/>
      <c r="AR48" s="17"/>
      <c r="AS48" s="17"/>
      <c r="BE48" s="17"/>
      <c r="BF48" s="17"/>
      <c r="BG48" s="17"/>
      <c r="BH48" s="27"/>
      <c r="BI48" s="28"/>
      <c r="BJ48" s="17"/>
      <c r="BK48" s="17"/>
      <c r="BL48" s="17"/>
      <c r="BQ48" s="13"/>
      <c r="BR48" s="13"/>
      <c r="BS48" s="13"/>
      <c r="BT48" s="13"/>
      <c r="BU48" s="13"/>
      <c r="BV48" s="13"/>
      <c r="CE48" s="17"/>
      <c r="CF48" s="17"/>
      <c r="CG48" s="17"/>
      <c r="CH48" s="27"/>
      <c r="CI48" s="28"/>
      <c r="CJ48" s="28"/>
      <c r="CK48" s="28"/>
      <c r="CL48" s="29"/>
      <c r="CM48" s="3"/>
      <c r="CN48" s="13"/>
      <c r="CO48" s="13"/>
      <c r="CP48" s="13"/>
      <c r="CQ48" s="13"/>
      <c r="CR48" s="13"/>
      <c r="CS48" s="13"/>
      <c r="CT48" s="13"/>
      <c r="CU48" s="13"/>
      <c r="CV48" s="13"/>
    </row>
    <row r="49" spans="1:100" x14ac:dyDescent="0.4">
      <c r="A49" s="73">
        <v>39</v>
      </c>
      <c r="B49" s="73">
        <v>221</v>
      </c>
      <c r="C49" s="76" cm="1">
        <f t="array" ref="C49">fcr_XN(C$10,$E$1,$K$1,$B49,$I$1,$B$5,$C$5,$B$3,$C$3,$D$3,$E$3,$F$3,$G$3,$H$3,$D$5,$E$5,$F$5,$G$5,$H$5,$B$7,$C$7,$D$7,$E$7,$G$7)</f>
        <v>4.9417291694309781E-4</v>
      </c>
      <c r="D49" s="76" cm="1">
        <f t="array" ref="D49">fcr_XN(D$10,$E$1,$K$1,$B49,$I$1,$B$5,$C$5,$B$3,$C$3,$D$3,$E$3,$F$3,$G$3,$H$3,$D$5,$E$5,$F$5,$G$5,$H$5,$B$7,$C$7,$D$7,$E$7,$G$7)</f>
        <v>1.2162568078608708E-3</v>
      </c>
      <c r="E49" s="76" cm="1">
        <f t="array" ref="E49">fcr_XN(E$10,$E$1,$K$1,$B49,$I$1,$B$5,$C$5,$B$3,$C$3,$D$3,$E$3,$F$3,$G$3,$H$3,$D$5,$E$5,$F$5,$G$5,$H$5,$B$7,$C$7,$D$7,$E$7,$G$7)</f>
        <v>4.3345233735748133E-3</v>
      </c>
      <c r="F49" s="76" cm="1">
        <f t="array" ref="F49">fcr_XN(F$10,$E$1,$K$1,$B49,$I$1,$B$5,$C$5,$B$3,$C$3,$D$3,$E$3,$F$3,$G$3,$H$3,$D$5,$E$5,$F$5,$G$5,$H$5,$B$7,$C$7,$D$7,$E$7,$G$7)</f>
        <v>2.054893541729038E-2</v>
      </c>
      <c r="G49" s="76" cm="1">
        <f t="array" ref="G49">fcr_XN(G$10,$E$1,$K$1,$B49,$I$1,$B$5,$C$5,$B$3,$C$3,$D$3,$E$3,$F$3,$G$3,$H$3,$D$5,$E$5,$F$5,$G$5,$H$5,$B$7,$C$7,$D$7,$E$7,$G$7)</f>
        <v>2.9008001950810526E-2</v>
      </c>
      <c r="I49" s="76"/>
      <c r="J49" s="76"/>
      <c r="K49" s="76"/>
      <c r="L49" s="76"/>
      <c r="M49" s="76"/>
      <c r="N49" s="13"/>
      <c r="O49" s="13"/>
      <c r="P49" s="13"/>
      <c r="Q49" s="13"/>
      <c r="R49" s="13"/>
      <c r="S49" s="12"/>
      <c r="T49" s="12"/>
      <c r="U49" s="115"/>
      <c r="V49" s="115"/>
      <c r="W49" s="115"/>
      <c r="X49" s="115"/>
      <c r="Y49" s="12"/>
      <c r="Z49" s="12"/>
      <c r="AA49" s="12"/>
      <c r="AB49" s="12"/>
      <c r="AC49" s="12"/>
      <c r="AD49" s="115"/>
      <c r="AE49" s="115"/>
      <c r="AF49" s="115"/>
      <c r="AG49" s="115"/>
      <c r="AH49" s="115"/>
      <c r="AI49" s="115"/>
      <c r="AJ49" s="115"/>
      <c r="AK49" s="115"/>
      <c r="AL49" s="12"/>
      <c r="AM49" s="3"/>
      <c r="AN49" s="13"/>
      <c r="AO49" s="13"/>
      <c r="AP49" s="13"/>
      <c r="AQ49" s="17"/>
      <c r="AR49" s="17"/>
      <c r="AS49" s="17"/>
      <c r="BE49" s="17"/>
      <c r="BF49" s="17"/>
      <c r="BG49" s="17"/>
      <c r="BH49" s="27"/>
      <c r="BI49" s="28"/>
      <c r="BJ49" s="17"/>
      <c r="BK49" s="17"/>
      <c r="BL49" s="17"/>
      <c r="BQ49" s="13"/>
      <c r="BR49" s="13"/>
      <c r="BS49" s="13"/>
      <c r="BT49" s="13"/>
      <c r="BU49" s="13"/>
      <c r="BV49" s="13"/>
      <c r="CE49" s="17"/>
      <c r="CF49" s="17"/>
      <c r="CG49" s="17"/>
      <c r="CH49" s="27"/>
      <c r="CI49" s="28"/>
      <c r="CJ49" s="28"/>
      <c r="CK49" s="28"/>
      <c r="CL49" s="29"/>
      <c r="CM49" s="3"/>
      <c r="CN49" s="13"/>
      <c r="CO49" s="13"/>
      <c r="CP49" s="13"/>
      <c r="CQ49" s="13"/>
      <c r="CR49" s="13"/>
      <c r="CS49" s="13"/>
      <c r="CT49" s="13"/>
      <c r="CU49" s="13"/>
      <c r="CV49" s="13"/>
    </row>
    <row r="50" spans="1:100" x14ac:dyDescent="0.4">
      <c r="A50" s="73">
        <v>40</v>
      </c>
      <c r="B50" s="73">
        <v>231</v>
      </c>
      <c r="C50" s="76" cm="1">
        <f t="array" ref="C50">fcr_XN(C$10,$E$1,$K$1,$B50,$I$1,$B$5,$C$5,$B$3,$C$3,$D$3,$E$3,$F$3,$G$3,$H$3,$D$5,$E$5,$F$5,$G$5,$H$5,$B$7,$C$7,$D$7,$E$7,$G$7)</f>
        <v>4.5478804612148881E-4</v>
      </c>
      <c r="D50" s="76" cm="1">
        <f t="array" ref="D50">fcr_XN(D$10,$E$1,$K$1,$B50,$I$1,$B$5,$C$5,$B$3,$C$3,$D$3,$E$3,$F$3,$G$3,$H$3,$D$5,$E$5,$F$5,$G$5,$H$5,$B$7,$C$7,$D$7,$E$7,$G$7)</f>
        <v>1.1201390613357306E-3</v>
      </c>
      <c r="E50" s="76" cm="1">
        <f t="array" ref="E50">fcr_XN(E$10,$E$1,$K$1,$B50,$I$1,$B$5,$C$5,$B$3,$C$3,$D$3,$E$3,$F$3,$G$3,$H$3,$D$5,$E$5,$F$5,$G$5,$H$5,$B$7,$C$7,$D$7,$E$7,$G$7)</f>
        <v>3.9993979561939548E-3</v>
      </c>
      <c r="F50" s="76" cm="1">
        <f t="array" ref="F50">fcr_XN(F$10,$E$1,$K$1,$B50,$I$1,$B$5,$C$5,$B$3,$C$3,$D$3,$E$3,$F$3,$G$3,$H$3,$D$5,$E$5,$F$5,$G$5,$H$5,$B$7,$C$7,$D$7,$E$7,$G$7)</f>
        <v>1.9047584307750422E-2</v>
      </c>
      <c r="G50" s="76" cm="1">
        <f t="array" ref="G50">fcr_XN(G$10,$E$1,$K$1,$B50,$I$1,$B$5,$C$5,$B$3,$C$3,$D$3,$E$3,$F$3,$G$3,$H$3,$D$5,$E$5,$F$5,$G$5,$H$5,$B$7,$C$7,$D$7,$E$7,$G$7)</f>
        <v>2.6910550422217992E-2</v>
      </c>
      <c r="I50" s="76"/>
      <c r="J50" s="76"/>
      <c r="K50" s="76"/>
      <c r="L50" s="76"/>
      <c r="M50" s="76"/>
      <c r="N50" s="13"/>
      <c r="O50" s="13"/>
      <c r="P50" s="13"/>
      <c r="Q50" s="13"/>
      <c r="R50" s="13"/>
      <c r="S50" s="12"/>
      <c r="T50" s="12"/>
      <c r="U50" s="115"/>
      <c r="V50" s="115"/>
      <c r="W50" s="115"/>
      <c r="X50" s="115"/>
      <c r="Y50" s="12"/>
      <c r="Z50" s="12"/>
      <c r="AA50" s="12"/>
      <c r="AB50" s="12"/>
      <c r="AC50" s="12"/>
      <c r="AD50" s="115"/>
      <c r="AE50" s="115"/>
      <c r="AF50" s="115"/>
      <c r="AG50" s="115"/>
      <c r="AH50" s="115"/>
      <c r="AI50" s="115"/>
      <c r="AJ50" s="115"/>
      <c r="AK50" s="115"/>
      <c r="AL50" s="12"/>
      <c r="AM50" s="3"/>
      <c r="AN50" s="13"/>
      <c r="AO50" s="13"/>
      <c r="AP50" s="13"/>
      <c r="AQ50" s="17"/>
      <c r="AR50" s="17"/>
      <c r="AS50" s="17"/>
      <c r="BE50" s="17"/>
      <c r="BF50" s="17"/>
      <c r="BG50" s="17"/>
      <c r="BH50" s="27"/>
      <c r="BI50" s="28"/>
      <c r="BJ50" s="17"/>
      <c r="BK50" s="17"/>
      <c r="BL50" s="17"/>
      <c r="BQ50" s="13"/>
      <c r="BR50" s="13"/>
      <c r="BS50" s="13"/>
      <c r="BT50" s="13"/>
      <c r="BU50" s="13"/>
      <c r="BV50" s="13"/>
      <c r="CE50" s="17"/>
      <c r="CF50" s="17"/>
      <c r="CG50" s="17"/>
      <c r="CH50" s="27"/>
      <c r="CI50" s="28"/>
      <c r="CJ50" s="28"/>
      <c r="CK50" s="28"/>
      <c r="CL50" s="29"/>
      <c r="CM50" s="3"/>
      <c r="CN50" s="13"/>
      <c r="CO50" s="13"/>
      <c r="CP50" s="13"/>
      <c r="CQ50" s="13"/>
      <c r="CR50" s="13"/>
      <c r="CS50" s="13"/>
      <c r="CT50" s="13"/>
      <c r="CU50" s="13"/>
      <c r="CV50" s="13"/>
    </row>
    <row r="51" spans="1:100" x14ac:dyDescent="0.4">
      <c r="A51" s="73">
        <v>41</v>
      </c>
      <c r="B51" s="73">
        <v>241</v>
      </c>
      <c r="C51" s="76" cm="1">
        <f t="array" ref="C51">fcr_XN(C$10,$E$1,$K$1,$B51,$I$1,$B$5,$C$5,$B$3,$C$3,$D$3,$E$3,$F$3,$G$3,$H$3,$D$5,$E$5,$F$5,$G$5,$H$5,$B$7,$C$7,$D$7,$E$7,$G$7)</f>
        <v>4.1919855469131146E-4</v>
      </c>
      <c r="D51" s="76" cm="1">
        <f t="array" ref="D51">fcr_XN(D$10,$E$1,$K$1,$B51,$I$1,$B$5,$C$5,$B$3,$C$3,$D$3,$E$3,$F$3,$G$3,$H$3,$D$5,$E$5,$F$5,$G$5,$H$5,$B$7,$C$7,$D$7,$E$7,$G$7)</f>
        <v>1.0331741519948941E-3</v>
      </c>
      <c r="E51" s="76" cm="1">
        <f t="array" ref="E51">fcr_XN(E$10,$E$1,$K$1,$B51,$I$1,$B$5,$C$5,$B$3,$C$3,$D$3,$E$3,$F$3,$G$3,$H$3,$D$5,$E$5,$F$5,$G$5,$H$5,$B$7,$C$7,$D$7,$E$7,$G$7)</f>
        <v>3.695202812252676E-3</v>
      </c>
      <c r="F51" s="76" cm="1">
        <f t="array" ref="F51">fcr_XN(F$10,$E$1,$K$1,$B51,$I$1,$B$5,$C$5,$B$3,$C$3,$D$3,$E$3,$F$3,$G$3,$H$3,$D$5,$E$5,$F$5,$G$5,$H$5,$B$7,$C$7,$D$7,$E$7,$G$7)</f>
        <v>1.7673732590421629E-2</v>
      </c>
      <c r="G51" s="76" cm="1">
        <f t="array" ref="G51">fcr_XN(G$10,$E$1,$K$1,$B51,$I$1,$B$5,$C$5,$B$3,$C$3,$D$3,$E$3,$F$3,$G$3,$H$3,$D$5,$E$5,$F$5,$G$5,$H$5,$B$7,$C$7,$D$7,$E$7,$G$7)</f>
        <v>2.4988465902143042E-2</v>
      </c>
      <c r="I51" s="76"/>
      <c r="J51" s="76"/>
      <c r="K51" s="76"/>
      <c r="L51" s="76"/>
      <c r="M51" s="76"/>
      <c r="N51" s="13"/>
      <c r="O51" s="13"/>
      <c r="P51" s="13"/>
      <c r="Q51" s="13"/>
      <c r="R51" s="13"/>
      <c r="S51" s="12"/>
      <c r="T51" s="12"/>
      <c r="U51" s="115"/>
      <c r="V51" s="115"/>
      <c r="W51" s="115"/>
      <c r="X51" s="115"/>
      <c r="Y51" s="12"/>
      <c r="Z51" s="12"/>
      <c r="AA51" s="12"/>
      <c r="AB51" s="12"/>
      <c r="AC51" s="12"/>
      <c r="AD51" s="115"/>
      <c r="AE51" s="115"/>
      <c r="AF51" s="115"/>
      <c r="AG51" s="115"/>
      <c r="AH51" s="115"/>
      <c r="AI51" s="115"/>
      <c r="AJ51" s="115"/>
      <c r="AK51" s="115"/>
      <c r="AL51" s="12"/>
      <c r="AM51" s="3"/>
      <c r="AN51" s="13"/>
      <c r="AO51" s="13"/>
      <c r="AP51" s="13"/>
      <c r="AQ51" s="17"/>
      <c r="AR51" s="17"/>
      <c r="AS51" s="17"/>
      <c r="BE51" s="17"/>
      <c r="BF51" s="17"/>
      <c r="BG51" s="17"/>
      <c r="BH51" s="27"/>
      <c r="BI51" s="28"/>
      <c r="BJ51" s="17"/>
      <c r="BK51" s="17"/>
      <c r="BL51" s="17"/>
      <c r="BQ51" s="13"/>
      <c r="BR51" s="13"/>
      <c r="BS51" s="13"/>
      <c r="BT51" s="13"/>
      <c r="BU51" s="13"/>
      <c r="BV51" s="13"/>
      <c r="CE51" s="17"/>
      <c r="CF51" s="17"/>
      <c r="CG51" s="17"/>
      <c r="CH51" s="27"/>
      <c r="CI51" s="28"/>
      <c r="CJ51" s="28"/>
      <c r="CK51" s="28"/>
      <c r="CL51" s="29"/>
      <c r="CM51" s="3"/>
      <c r="CN51" s="13"/>
      <c r="CO51" s="13"/>
      <c r="CP51" s="13"/>
      <c r="CQ51" s="13"/>
      <c r="CR51" s="13"/>
      <c r="CS51" s="13"/>
      <c r="CT51" s="13"/>
      <c r="CU51" s="13"/>
      <c r="CV51" s="13"/>
    </row>
    <row r="52" spans="1:100" x14ac:dyDescent="0.4">
      <c r="A52" s="73">
        <v>42</v>
      </c>
      <c r="B52" s="73">
        <v>251</v>
      </c>
      <c r="C52" s="76" cm="1">
        <f t="array" ref="C52">fcr_XN(C$10,$E$1,$K$1,$B52,$I$1,$B$5,$C$5,$B$3,$C$3,$D$3,$E$3,$F$3,$G$3,$H$3,$D$5,$E$5,$F$5,$G$5,$H$5,$B$7,$C$7,$D$7,$E$7,$G$7)</f>
        <v>3.869343462354539E-4</v>
      </c>
      <c r="D52" s="76" cm="1">
        <f t="array" ref="D52">fcr_XN(D$10,$E$1,$K$1,$B52,$I$1,$B$5,$C$5,$B$3,$C$3,$D$3,$E$3,$F$3,$G$3,$H$3,$D$5,$E$5,$F$5,$G$5,$H$5,$B$7,$C$7,$D$7,$E$7,$G$7)</f>
        <v>9.54243449300385E-4</v>
      </c>
      <c r="E52" s="76" cm="1">
        <f t="array" ref="E52">fcr_XN(E$10,$E$1,$K$1,$B52,$I$1,$B$5,$C$5,$B$3,$C$3,$D$3,$E$3,$F$3,$G$3,$H$3,$D$5,$E$5,$F$5,$G$5,$H$5,$B$7,$C$7,$D$7,$E$7,$G$7)</f>
        <v>3.4182896726241857E-3</v>
      </c>
      <c r="F52" s="76" cm="1">
        <f t="array" ref="F52">fcr_XN(F$10,$E$1,$K$1,$B52,$I$1,$B$5,$C$5,$B$3,$C$3,$D$3,$E$3,$F$3,$G$3,$H$3,$D$5,$E$5,$F$5,$G$5,$H$5,$B$7,$C$7,$D$7,$E$7,$G$7)</f>
        <v>1.6413742079519008E-2</v>
      </c>
      <c r="G52" s="76" cm="1">
        <f t="array" ref="G52">fcr_XN(G$10,$E$1,$K$1,$B52,$I$1,$B$5,$C$5,$B$3,$C$3,$D$3,$E$3,$F$3,$G$3,$H$3,$D$5,$E$5,$F$5,$G$5,$H$5,$B$7,$C$7,$D$7,$E$7,$G$7)</f>
        <v>2.3223334305591099E-2</v>
      </c>
      <c r="I52" s="76"/>
      <c r="J52" s="76"/>
      <c r="K52" s="76"/>
      <c r="L52" s="76"/>
      <c r="M52" s="76"/>
      <c r="N52" s="13"/>
      <c r="O52" s="13"/>
      <c r="P52" s="13"/>
      <c r="Q52" s="13"/>
      <c r="R52" s="13"/>
      <c r="S52" s="12"/>
      <c r="T52" s="12"/>
      <c r="U52" s="115"/>
      <c r="V52" s="115"/>
      <c r="W52" s="115"/>
      <c r="X52" s="115"/>
      <c r="Y52" s="12"/>
      <c r="Z52" s="12"/>
      <c r="AA52" s="12"/>
      <c r="AB52" s="12"/>
      <c r="AC52" s="12"/>
      <c r="AD52" s="115"/>
      <c r="AE52" s="115"/>
      <c r="AF52" s="115"/>
      <c r="AG52" s="115"/>
      <c r="AH52" s="115"/>
      <c r="AI52" s="115"/>
      <c r="AJ52" s="115"/>
      <c r="AK52" s="115"/>
      <c r="AL52" s="12"/>
      <c r="AM52" s="3"/>
      <c r="AN52" s="13"/>
      <c r="AO52" s="13"/>
      <c r="AP52" s="13"/>
      <c r="AQ52" s="17"/>
      <c r="AR52" s="17"/>
      <c r="AS52" s="17"/>
      <c r="BE52" s="17"/>
      <c r="BF52" s="17"/>
      <c r="BG52" s="17"/>
      <c r="BH52" s="27"/>
      <c r="BI52" s="28"/>
      <c r="BJ52" s="17"/>
      <c r="BK52" s="17"/>
      <c r="BL52" s="17"/>
      <c r="BQ52" s="13"/>
      <c r="BR52" s="13"/>
      <c r="BS52" s="13"/>
      <c r="BT52" s="13"/>
      <c r="BU52" s="13"/>
      <c r="BV52" s="13"/>
      <c r="CE52" s="17"/>
      <c r="CF52" s="17"/>
      <c r="CG52" s="17"/>
      <c r="CH52" s="27"/>
      <c r="CI52" s="28"/>
      <c r="CJ52" s="28"/>
      <c r="CK52" s="28"/>
      <c r="CL52" s="29"/>
      <c r="CM52" s="3"/>
      <c r="CN52" s="13"/>
      <c r="CO52" s="13"/>
      <c r="CP52" s="13"/>
      <c r="CQ52" s="13"/>
      <c r="CR52" s="13"/>
      <c r="CS52" s="13"/>
      <c r="CT52" s="13"/>
      <c r="CU52" s="13"/>
      <c r="CV52" s="13"/>
    </row>
    <row r="53" spans="1:100" x14ac:dyDescent="0.4">
      <c r="A53" s="73">
        <v>43</v>
      </c>
      <c r="B53" s="73">
        <v>261</v>
      </c>
      <c r="C53" s="76" cm="1">
        <f t="array" ref="C53">fcr_XN(C$10,$E$1,$K$1,$B53,$I$1,$B$5,$C$5,$B$3,$C$3,$D$3,$E$3,$F$3,$G$3,$H$3,$D$5,$E$5,$F$5,$G$5,$H$5,$B$7,$C$7,$D$7,$E$7,$G$7)</f>
        <v>3.5760005015082757E-4</v>
      </c>
      <c r="D53" s="76" cm="1">
        <f t="array" ref="D53">fcr_XN(D$10,$E$1,$K$1,$B53,$I$1,$B$5,$C$5,$B$3,$C$3,$D$3,$E$3,$F$3,$G$3,$H$3,$D$5,$E$5,$F$5,$G$5,$H$5,$B$7,$C$7,$D$7,$E$7,$G$7)</f>
        <v>8.8240400576725477E-4</v>
      </c>
      <c r="E53" s="76" cm="1">
        <f t="array" ref="E53">fcr_XN(E$10,$E$1,$K$1,$B53,$I$1,$B$5,$C$5,$B$3,$C$3,$D$3,$E$3,$F$3,$G$3,$H$3,$D$5,$E$5,$F$5,$G$5,$H$5,$B$7,$C$7,$D$7,$E$7,$G$7)</f>
        <v>3.1655650797982036E-3</v>
      </c>
      <c r="F53" s="76" cm="1">
        <f t="array" ref="F53">fcr_XN(F$10,$E$1,$K$1,$B53,$I$1,$B$5,$C$5,$B$3,$C$3,$D$3,$E$3,$F$3,$G$3,$H$3,$D$5,$E$5,$F$5,$G$5,$H$5,$B$7,$C$7,$D$7,$E$7,$G$7)</f>
        <v>1.5255872087247484E-2</v>
      </c>
      <c r="G53" s="76" cm="1">
        <f t="array" ref="G53">fcr_XN(G$10,$E$1,$K$1,$B53,$I$1,$B$5,$C$5,$B$3,$C$3,$D$3,$E$3,$F$3,$G$3,$H$3,$D$5,$E$5,$F$5,$G$5,$H$5,$B$7,$C$7,$D$7,$E$7,$G$7)</f>
        <v>2.1599261654776426E-2</v>
      </c>
      <c r="I53" s="76"/>
      <c r="J53" s="76"/>
      <c r="K53" s="76"/>
      <c r="L53" s="76"/>
      <c r="M53" s="76"/>
      <c r="N53" s="13"/>
      <c r="O53" s="13"/>
      <c r="P53" s="13"/>
      <c r="Q53" s="13"/>
      <c r="R53" s="13"/>
      <c r="S53" s="12"/>
      <c r="T53" s="12"/>
      <c r="U53" s="115"/>
      <c r="V53" s="115"/>
      <c r="W53" s="115"/>
      <c r="X53" s="115"/>
      <c r="Y53" s="12"/>
      <c r="Z53" s="12"/>
      <c r="AA53" s="12"/>
      <c r="AB53" s="12"/>
      <c r="AC53" s="12"/>
      <c r="AD53" s="115"/>
      <c r="AE53" s="115"/>
      <c r="AF53" s="115"/>
      <c r="AG53" s="115"/>
      <c r="AH53" s="115"/>
      <c r="AI53" s="115"/>
      <c r="AJ53" s="115"/>
      <c r="AK53" s="115"/>
      <c r="AL53" s="12"/>
      <c r="AM53" s="3"/>
      <c r="AN53" s="13"/>
      <c r="AO53" s="13"/>
      <c r="AP53" s="13"/>
      <c r="AQ53" s="17"/>
      <c r="AR53" s="17"/>
      <c r="AS53" s="17"/>
      <c r="BE53" s="17"/>
      <c r="BF53" s="17"/>
      <c r="BG53" s="17"/>
      <c r="BH53" s="27"/>
      <c r="BI53" s="28"/>
      <c r="BJ53" s="17"/>
      <c r="BK53" s="17"/>
      <c r="BL53" s="17"/>
      <c r="BQ53" s="13"/>
      <c r="BR53" s="13"/>
      <c r="BS53" s="13"/>
      <c r="BT53" s="13"/>
      <c r="BU53" s="13"/>
      <c r="BV53" s="13"/>
      <c r="CE53" s="17"/>
      <c r="CF53" s="17"/>
      <c r="CG53" s="17"/>
      <c r="CH53" s="27"/>
      <c r="CI53" s="28"/>
      <c r="CJ53" s="28"/>
      <c r="CK53" s="28"/>
      <c r="CL53" s="29"/>
      <c r="CM53" s="3"/>
      <c r="CN53" s="13"/>
      <c r="CO53" s="13"/>
      <c r="CP53" s="13"/>
      <c r="CQ53" s="13"/>
      <c r="CR53" s="13"/>
      <c r="CS53" s="13"/>
      <c r="CT53" s="13"/>
      <c r="CU53" s="13"/>
      <c r="CV53" s="13"/>
    </row>
    <row r="54" spans="1:100" x14ac:dyDescent="0.4">
      <c r="A54" s="73">
        <v>44</v>
      </c>
      <c r="B54" s="73">
        <v>271</v>
      </c>
      <c r="C54" s="76" cm="1">
        <f t="array" ref="C54">fcr_XN(C$10,$E$1,$K$1,$B54,$I$1,$B$5,$C$5,$B$3,$C$3,$D$3,$E$3,$F$3,$G$3,$H$3,$D$5,$E$5,$F$5,$G$5,$H$5,$B$7,$C$7,$D$7,$E$7,$G$7)</f>
        <v>3.3086052488816525E-4</v>
      </c>
      <c r="D54" s="76" cm="1">
        <f t="array" ref="D54">fcr_XN(D$10,$E$1,$K$1,$B54,$I$1,$B$5,$C$5,$B$3,$C$3,$D$3,$E$3,$F$3,$G$3,$H$3,$D$5,$E$5,$F$5,$G$5,$H$5,$B$7,$C$7,$D$7,$E$7,$G$7)</f>
        <v>8.1685481655430442E-4</v>
      </c>
      <c r="E54" s="76" cm="1">
        <f t="array" ref="E54">fcr_XN(E$10,$E$1,$K$1,$B54,$I$1,$B$5,$C$5,$B$3,$C$3,$D$3,$E$3,$F$3,$G$3,$H$3,$D$5,$E$5,$F$5,$G$5,$H$5,$B$7,$C$7,$D$7,$E$7,$G$7)</f>
        <v>2.9343866402305675E-3</v>
      </c>
      <c r="F54" s="76" cm="1">
        <f t="array" ref="F54">fcr_XN(F$10,$E$1,$K$1,$B54,$I$1,$B$5,$C$5,$B$3,$C$3,$D$3,$E$3,$F$3,$G$3,$H$3,$D$5,$E$5,$F$5,$G$5,$H$5,$B$7,$C$7,$D$7,$E$7,$G$7)</f>
        <v>1.4189948972886441E-2</v>
      </c>
      <c r="G54" s="76" cm="1">
        <f t="array" ref="G54">fcr_XN(G$10,$E$1,$K$1,$B54,$I$1,$B$5,$C$5,$B$3,$C$3,$D$3,$E$3,$F$3,$G$3,$H$3,$D$5,$E$5,$F$5,$G$5,$H$5,$B$7,$C$7,$D$7,$E$7,$G$7)</f>
        <v>2.0102440583093049E-2</v>
      </c>
      <c r="I54" s="76"/>
      <c r="J54" s="76"/>
      <c r="K54" s="76"/>
      <c r="L54" s="76"/>
      <c r="M54" s="76"/>
      <c r="N54" s="13"/>
      <c r="O54" s="13"/>
      <c r="P54" s="13"/>
      <c r="Q54" s="13"/>
      <c r="R54" s="13"/>
      <c r="S54" s="12"/>
      <c r="T54" s="12"/>
      <c r="U54" s="115"/>
      <c r="V54" s="115"/>
      <c r="W54" s="115"/>
      <c r="X54" s="115"/>
      <c r="Y54" s="12"/>
      <c r="Z54" s="12"/>
      <c r="AA54" s="12"/>
      <c r="AB54" s="12"/>
      <c r="AC54" s="12"/>
      <c r="AD54" s="115"/>
      <c r="AE54" s="115"/>
      <c r="AF54" s="115"/>
      <c r="AG54" s="115"/>
      <c r="AH54" s="115"/>
      <c r="AI54" s="115"/>
      <c r="AJ54" s="115"/>
      <c r="AK54" s="115"/>
      <c r="AL54" s="12"/>
      <c r="AM54" s="3"/>
      <c r="AN54" s="13"/>
      <c r="AO54" s="13"/>
      <c r="AP54" s="13"/>
      <c r="AQ54" s="17"/>
      <c r="AR54" s="17"/>
      <c r="AS54" s="17"/>
      <c r="BE54" s="17"/>
      <c r="BF54" s="17"/>
      <c r="BG54" s="17"/>
      <c r="BH54" s="27"/>
      <c r="BI54" s="28"/>
      <c r="BJ54" s="17"/>
      <c r="BK54" s="17"/>
      <c r="BL54" s="17"/>
      <c r="BQ54" s="13"/>
      <c r="BR54" s="13"/>
      <c r="BS54" s="13"/>
      <c r="BT54" s="13"/>
      <c r="BU54" s="13"/>
      <c r="BV54" s="13"/>
      <c r="CE54" s="17"/>
      <c r="CF54" s="17"/>
      <c r="CG54" s="17"/>
      <c r="CH54" s="27"/>
      <c r="CI54" s="28"/>
      <c r="CJ54" s="28"/>
      <c r="CK54" s="28"/>
      <c r="CL54" s="29"/>
      <c r="CM54" s="3"/>
      <c r="CN54" s="13"/>
      <c r="CO54" s="13"/>
      <c r="CP54" s="13"/>
      <c r="CQ54" s="13"/>
      <c r="CR54" s="13"/>
      <c r="CS54" s="13"/>
      <c r="CT54" s="13"/>
      <c r="CU54" s="13"/>
      <c r="CV54" s="13"/>
    </row>
    <row r="55" spans="1:100" x14ac:dyDescent="0.4">
      <c r="A55" s="73">
        <v>45</v>
      </c>
      <c r="B55" s="73">
        <v>281</v>
      </c>
      <c r="C55" s="76" cm="1">
        <f t="array" ref="C55">fcr_XN(C$10,$E$1,$K$1,$B55,$I$1,$B$5,$C$5,$B$3,$C$3,$D$3,$E$3,$F$3,$G$3,$H$3,$D$5,$E$5,$F$5,$G$5,$H$5,$B$7,$C$7,$D$7,$E$7,$G$7)</f>
        <v>3.064296220404653E-4</v>
      </c>
      <c r="D55" s="76" cm="1">
        <f t="array" ref="D55">fcr_XN(D$10,$E$1,$K$1,$B55,$I$1,$B$5,$C$5,$B$3,$C$3,$D$3,$E$3,$F$3,$G$3,$H$3,$D$5,$E$5,$F$5,$G$5,$H$5,$B$7,$C$7,$D$7,$E$7,$G$7)</f>
        <v>7.5691060186651254E-4</v>
      </c>
      <c r="E55" s="76" cm="1">
        <f t="array" ref="E55">fcr_XN(E$10,$E$1,$K$1,$B55,$I$1,$B$5,$C$5,$B$3,$C$3,$D$3,$E$3,$F$3,$G$3,$H$3,$D$5,$E$5,$F$5,$G$5,$H$5,$B$7,$C$7,$D$7,$E$7,$G$7)</f>
        <v>2.7224818798670851E-3</v>
      </c>
      <c r="F55" s="76" cm="1">
        <f t="array" ref="F55">fcr_XN(F$10,$E$1,$K$1,$B55,$I$1,$B$5,$C$5,$B$3,$C$3,$D$3,$E$3,$F$3,$G$3,$H$3,$D$5,$E$5,$F$5,$G$5,$H$5,$B$7,$C$7,$D$7,$E$7,$G$7)</f>
        <v>1.3207103539415068E-2</v>
      </c>
      <c r="G55" s="76" cm="1">
        <f t="array" ref="G55">fcr_XN(G$10,$E$1,$K$1,$B55,$I$1,$B$5,$C$5,$B$3,$C$3,$D$3,$E$3,$F$3,$G$3,$H$3,$D$5,$E$5,$F$5,$G$5,$H$5,$B$7,$C$7,$D$7,$E$7,$G$7)</f>
        <v>1.8720804984934288E-2</v>
      </c>
      <c r="I55" s="76"/>
      <c r="J55" s="76"/>
      <c r="K55" s="76"/>
      <c r="L55" s="76"/>
      <c r="M55" s="76"/>
      <c r="N55" s="13"/>
      <c r="O55" s="13"/>
      <c r="P55" s="13"/>
      <c r="Q55" s="13"/>
      <c r="R55" s="13"/>
      <c r="S55" s="12"/>
      <c r="T55" s="12"/>
      <c r="U55" s="115"/>
      <c r="V55" s="115"/>
      <c r="W55" s="115"/>
      <c r="X55" s="115"/>
      <c r="Y55" s="12"/>
      <c r="Z55" s="12"/>
      <c r="AA55" s="12"/>
      <c r="AB55" s="12"/>
      <c r="AC55" s="12"/>
      <c r="AD55" s="115"/>
      <c r="AE55" s="115"/>
      <c r="AF55" s="115"/>
      <c r="AG55" s="115"/>
      <c r="AH55" s="115"/>
      <c r="AI55" s="115"/>
      <c r="AJ55" s="115"/>
      <c r="AK55" s="115"/>
      <c r="AL55" s="12"/>
      <c r="AM55" s="3"/>
      <c r="AN55" s="13"/>
      <c r="AO55" s="13"/>
      <c r="AP55" s="13"/>
      <c r="AQ55" s="17"/>
      <c r="AR55" s="17"/>
      <c r="AS55" s="17"/>
      <c r="BE55" s="17"/>
      <c r="BF55" s="17"/>
      <c r="BG55" s="17"/>
      <c r="BH55" s="27"/>
      <c r="BI55" s="28"/>
      <c r="BJ55" s="17"/>
      <c r="BK55" s="17"/>
      <c r="BL55" s="17"/>
      <c r="BQ55" s="13"/>
      <c r="BR55" s="13"/>
      <c r="BS55" s="13"/>
      <c r="BT55" s="13"/>
      <c r="BU55" s="13"/>
      <c r="BV55" s="13"/>
      <c r="CE55" s="17"/>
      <c r="CF55" s="17"/>
      <c r="CG55" s="17"/>
      <c r="CH55" s="27"/>
      <c r="CI55" s="28"/>
      <c r="CJ55" s="28"/>
      <c r="CK55" s="28"/>
      <c r="CL55" s="29"/>
      <c r="CM55" s="3"/>
      <c r="CN55" s="13"/>
      <c r="CO55" s="13"/>
      <c r="CP55" s="13"/>
      <c r="CQ55" s="13"/>
      <c r="CR55" s="13"/>
      <c r="CS55" s="13"/>
      <c r="CT55" s="13"/>
      <c r="CU55" s="13"/>
      <c r="CV55" s="13"/>
    </row>
    <row r="56" spans="1:100" x14ac:dyDescent="0.4">
      <c r="A56" s="73">
        <v>46</v>
      </c>
      <c r="B56" s="73">
        <v>291</v>
      </c>
      <c r="C56" s="76" cm="1">
        <f t="array" ref="C56">fcr_XN(C$10,$E$1,$K$1,$B56,$I$1,$B$5,$C$5,$B$3,$C$3,$D$3,$E$3,$F$3,$G$3,$H$3,$D$5,$E$5,$F$5,$G$5,$H$5,$B$7,$C$7,$D$7,$E$7,$G$7)</f>
        <v>2.8406138906181792E-4</v>
      </c>
      <c r="D56" s="76" cm="1">
        <f t="array" ref="D56">fcr_XN(D$10,$E$1,$K$1,$B56,$I$1,$B$5,$C$5,$B$3,$C$3,$D$3,$E$3,$F$3,$G$3,$H$3,$D$5,$E$5,$F$5,$G$5,$H$5,$B$7,$C$7,$D$7,$E$7,$G$7)</f>
        <v>7.0198123077065309E-4</v>
      </c>
      <c r="E56" s="76" cm="1">
        <f t="array" ref="E56">fcr_XN(E$10,$E$1,$K$1,$B56,$I$1,$B$5,$C$5,$B$3,$C$3,$D$3,$E$3,$F$3,$G$3,$H$3,$D$5,$E$5,$F$5,$G$5,$H$5,$B$7,$C$7,$D$7,$E$7,$G$7)</f>
        <v>2.5278841695626198E-3</v>
      </c>
      <c r="F56" s="76" cm="1">
        <f t="array" ref="F56">fcr_XN(F$10,$E$1,$K$1,$B56,$I$1,$B$5,$C$5,$B$3,$C$3,$D$3,$E$3,$F$3,$G$3,$H$3,$D$5,$E$5,$F$5,$G$5,$H$5,$B$7,$C$7,$D$7,$E$7,$G$7)</f>
        <v>1.2299560541451031E-2</v>
      </c>
      <c r="G56" s="76" cm="1">
        <f t="array" ref="G56">fcr_XN(G$10,$E$1,$K$1,$B56,$I$1,$B$5,$C$5,$B$3,$C$3,$D$3,$E$3,$F$3,$G$3,$H$3,$D$5,$E$5,$F$5,$G$5,$H$5,$B$7,$C$7,$D$7,$E$7,$G$7)</f>
        <v>1.7443752543603981E-2</v>
      </c>
      <c r="I56" s="76"/>
      <c r="J56" s="76"/>
      <c r="K56" s="76"/>
      <c r="L56" s="76"/>
      <c r="M56" s="76"/>
      <c r="N56" s="13"/>
      <c r="O56" s="13"/>
      <c r="P56" s="13"/>
      <c r="Q56" s="13"/>
      <c r="R56" s="13"/>
      <c r="S56" s="12"/>
      <c r="T56" s="12"/>
      <c r="U56" s="115"/>
      <c r="V56" s="115"/>
      <c r="W56" s="115"/>
      <c r="X56" s="115"/>
      <c r="Y56" s="12"/>
      <c r="Z56" s="12"/>
      <c r="AA56" s="12"/>
      <c r="AB56" s="12"/>
      <c r="AC56" s="12"/>
      <c r="AD56" s="115"/>
      <c r="AE56" s="115"/>
      <c r="AF56" s="115"/>
      <c r="AG56" s="115"/>
      <c r="AH56" s="115"/>
      <c r="AI56" s="115"/>
      <c r="AJ56" s="115"/>
      <c r="AK56" s="115"/>
      <c r="AL56" s="12"/>
      <c r="AM56" s="3"/>
      <c r="AN56" s="13"/>
      <c r="AO56" s="13"/>
      <c r="AP56" s="13"/>
      <c r="AQ56" s="17"/>
      <c r="AR56" s="17"/>
      <c r="AS56" s="17"/>
      <c r="BE56" s="17"/>
      <c r="BF56" s="17"/>
      <c r="BG56" s="17"/>
      <c r="BH56" s="27"/>
      <c r="BI56" s="28"/>
      <c r="BJ56" s="17"/>
      <c r="BK56" s="17"/>
      <c r="BL56" s="17"/>
      <c r="BQ56" s="13"/>
      <c r="BR56" s="13"/>
      <c r="BS56" s="13"/>
      <c r="BT56" s="13"/>
      <c r="BU56" s="13"/>
      <c r="BV56" s="13"/>
      <c r="CE56" s="17"/>
      <c r="CF56" s="17"/>
      <c r="CG56" s="17"/>
      <c r="CH56" s="27"/>
      <c r="CI56" s="28"/>
      <c r="CJ56" s="28"/>
      <c r="CK56" s="28"/>
      <c r="CL56" s="29"/>
      <c r="CM56" s="3"/>
      <c r="CN56" s="13"/>
      <c r="CO56" s="13"/>
      <c r="CP56" s="13"/>
      <c r="CQ56" s="13"/>
      <c r="CR56" s="13"/>
      <c r="CS56" s="13"/>
      <c r="CT56" s="13"/>
      <c r="CU56" s="13"/>
      <c r="CV56" s="13"/>
    </row>
    <row r="57" spans="1:100" x14ac:dyDescent="0.4">
      <c r="A57" s="73">
        <v>47</v>
      </c>
      <c r="B57" s="73">
        <v>301</v>
      </c>
      <c r="C57" s="76" cm="1">
        <f t="array" ref="C57">fcr_XN(C$10,$E$1,$K$1,$B57,$I$1,$B$5,$C$5,$B$3,$C$3,$D$3,$E$3,$F$3,$G$3,$H$3,$D$5,$E$5,$F$5,$G$5,$H$5,$B$7,$C$7,$D$7,$E$7,$G$7)</f>
        <v>2.6354311604740425E-4</v>
      </c>
      <c r="D57" s="76" cm="1">
        <f t="array" ref="D57">fcr_XN(D$10,$E$1,$K$1,$B57,$I$1,$B$5,$C$5,$B$3,$C$3,$D$3,$E$3,$F$3,$G$3,$H$3,$D$5,$E$5,$F$5,$G$5,$H$5,$B$7,$C$7,$D$7,$E$7,$G$7)</f>
        <v>6.5155542187144658E-4</v>
      </c>
      <c r="E57" s="76" cm="1">
        <f t="array" ref="E57">fcr_XN(E$10,$E$1,$K$1,$B57,$I$1,$B$5,$C$5,$B$3,$C$3,$D$3,$E$3,$F$3,$G$3,$H$3,$D$5,$E$5,$F$5,$G$5,$H$5,$B$7,$C$7,$D$7,$E$7,$G$7)</f>
        <v>2.3488816764327832E-3</v>
      </c>
      <c r="F57" s="76" cm="1">
        <f t="array" ref="F57">fcr_XN(F$10,$E$1,$K$1,$B57,$I$1,$B$5,$C$5,$B$3,$C$3,$D$3,$E$3,$F$3,$G$3,$H$3,$D$5,$E$5,$F$5,$G$5,$H$5,$B$7,$C$7,$D$7,$E$7,$G$7)</f>
        <v>1.146046859133238E-2</v>
      </c>
      <c r="G57" s="76" cm="1">
        <f t="array" ref="G57">fcr_XN(G$10,$E$1,$K$1,$B57,$I$1,$B$5,$C$5,$B$3,$C$3,$D$3,$E$3,$F$3,$G$3,$H$3,$D$5,$E$5,$F$5,$G$5,$H$5,$B$7,$C$7,$D$7,$E$7,$G$7)</f>
        <v>1.6261920008439963E-2</v>
      </c>
      <c r="I57" s="76"/>
      <c r="J57" s="76"/>
      <c r="K57" s="76"/>
      <c r="L57" s="76"/>
      <c r="M57" s="76"/>
      <c r="N57" s="13"/>
      <c r="O57" s="13"/>
      <c r="P57" s="13"/>
      <c r="Q57" s="13"/>
      <c r="R57" s="13"/>
      <c r="S57" s="12"/>
      <c r="T57" s="12"/>
      <c r="U57" s="115"/>
      <c r="V57" s="115"/>
      <c r="W57" s="115"/>
      <c r="X57" s="115"/>
      <c r="Y57" s="12"/>
      <c r="Z57" s="12"/>
      <c r="AA57" s="12"/>
      <c r="AB57" s="12"/>
      <c r="AC57" s="12"/>
      <c r="AD57" s="115"/>
      <c r="AE57" s="115"/>
      <c r="AF57" s="115"/>
      <c r="AG57" s="115"/>
      <c r="AH57" s="115"/>
      <c r="AI57" s="115"/>
      <c r="AJ57" s="115"/>
      <c r="AK57" s="115"/>
      <c r="AL57" s="12"/>
      <c r="AM57" s="3"/>
      <c r="AN57" s="13"/>
      <c r="AO57" s="13"/>
      <c r="AP57" s="13"/>
      <c r="AQ57" s="17"/>
      <c r="AR57" s="17"/>
      <c r="AS57" s="17"/>
      <c r="BE57" s="17"/>
      <c r="BF57" s="17"/>
      <c r="BG57" s="17"/>
      <c r="BH57" s="27"/>
      <c r="BI57" s="28"/>
      <c r="BJ57" s="17"/>
      <c r="BK57" s="17"/>
      <c r="BL57" s="17"/>
      <c r="BQ57" s="13"/>
      <c r="BR57" s="13"/>
      <c r="BS57" s="13"/>
      <c r="BT57" s="13"/>
      <c r="BU57" s="13"/>
      <c r="BV57" s="13"/>
      <c r="CE57" s="17"/>
      <c r="CF57" s="17"/>
      <c r="CG57" s="17"/>
      <c r="CH57" s="27"/>
      <c r="CI57" s="28"/>
      <c r="CJ57" s="28"/>
      <c r="CK57" s="28"/>
      <c r="CL57" s="29"/>
      <c r="CM57" s="3"/>
      <c r="CN57" s="13"/>
      <c r="CO57" s="13"/>
      <c r="CP57" s="13"/>
      <c r="CQ57" s="13"/>
      <c r="CR57" s="13"/>
      <c r="CS57" s="13"/>
      <c r="CT57" s="13"/>
      <c r="CU57" s="13"/>
      <c r="CV57" s="13"/>
    </row>
    <row r="58" spans="1:100" x14ac:dyDescent="0.4">
      <c r="A58" s="73">
        <v>48</v>
      </c>
      <c r="B58" s="73">
        <v>320</v>
      </c>
      <c r="C58" s="76" cm="1">
        <f t="array" ref="C58">fcr_XN(C$10,$E$1,$K$1,$B58,$I$1,$B$5,$C$5,$B$3,$C$3,$D$3,$E$3,$F$3,$G$3,$H$3,$D$5,$E$5,$F$5,$G$5,$H$5,$B$7,$C$7,$D$7,$E$7,$G$7)</f>
        <v>2.2901120656765089E-4</v>
      </c>
      <c r="D58" s="76" cm="1">
        <f t="array" ref="D58">fcr_XN(D$10,$E$1,$K$1,$B58,$I$1,$B$5,$C$5,$B$3,$C$3,$D$3,$E$3,$F$3,$G$3,$H$3,$D$5,$E$5,$F$5,$G$5,$H$5,$B$7,$C$7,$D$7,$E$7,$G$7)</f>
        <v>5.6660303097019781E-4</v>
      </c>
      <c r="E58" s="76" cm="1">
        <f t="array" ref="E58">fcr_XN(E$10,$E$1,$K$1,$B58,$I$1,$B$5,$C$5,$B$3,$C$3,$D$3,$E$3,$F$3,$G$3,$H$3,$D$5,$E$5,$F$5,$G$5,$H$5,$B$7,$C$7,$D$7,$E$7,$G$7)</f>
        <v>2.0465224691007733E-3</v>
      </c>
      <c r="F58" s="76" cm="1">
        <f t="array" ref="F58">fcr_XN(F$10,$E$1,$K$1,$B58,$I$1,$B$5,$C$5,$B$3,$C$3,$D$3,$E$3,$F$3,$G$3,$H$3,$D$5,$E$5,$F$5,$G$5,$H$5,$B$7,$C$7,$D$7,$E$7,$G$7)</f>
        <v>1.003359391667269E-2</v>
      </c>
      <c r="G58" s="76" cm="1">
        <f t="array" ref="G58">fcr_XN(G$10,$E$1,$K$1,$B58,$I$1,$B$5,$C$5,$B$3,$C$3,$D$3,$E$3,$F$3,$G$3,$H$3,$D$5,$E$5,$F$5,$G$5,$H$5,$B$7,$C$7,$D$7,$E$7,$G$7)</f>
        <v>1.4249746831229669E-2</v>
      </c>
      <c r="I58" s="76"/>
      <c r="J58" s="76"/>
      <c r="K58" s="76"/>
      <c r="L58" s="76"/>
      <c r="N58" s="13"/>
      <c r="O58" s="13"/>
      <c r="P58" s="13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</row>
    <row r="59" spans="1:100" x14ac:dyDescent="0.4">
      <c r="A59" s="73">
        <v>49</v>
      </c>
      <c r="B59" s="73">
        <v>340</v>
      </c>
      <c r="C59" s="76" cm="1">
        <f t="array" ref="C59">fcr_XN(C$10,$E$1,$K$1,$B59,$I$1,$B$5,$C$5,$B$3,$C$3,$D$3,$E$3,$F$3,$G$3,$H$3,$D$5,$E$5,$F$5,$G$5,$H$5,$B$7,$C$7,$D$7,$E$7,$G$7)</f>
        <v>1.9802002093839645E-4</v>
      </c>
      <c r="D59" s="76" cm="1">
        <f t="array" ref="D59">fcr_XN(D$10,$E$1,$K$1,$B59,$I$1,$B$5,$C$5,$B$3,$C$3,$D$3,$E$3,$F$3,$G$3,$H$3,$D$5,$E$5,$F$5,$G$5,$H$5,$B$7,$C$7,$D$7,$E$7,$G$7)</f>
        <v>4.9026649669283535E-4</v>
      </c>
      <c r="E59" s="76" cm="1">
        <f t="array" ref="E59">fcr_XN(E$10,$E$1,$K$1,$B59,$I$1,$B$5,$C$5,$B$3,$C$3,$D$3,$E$3,$F$3,$G$3,$H$3,$D$5,$E$5,$F$5,$G$5,$H$5,$B$7,$C$7,$D$7,$E$7,$G$7)</f>
        <v>1.7739573456536201E-3</v>
      </c>
      <c r="F59" s="76" cm="1">
        <f t="array" ref="F59">fcr_XN(F$10,$E$1,$K$1,$B59,$I$1,$B$5,$C$5,$B$3,$C$3,$D$3,$E$3,$F$3,$G$3,$H$3,$D$5,$E$5,$F$5,$G$5,$H$5,$B$7,$C$7,$D$7,$E$7,$G$7)</f>
        <v>8.736748506196183E-3</v>
      </c>
      <c r="G59" s="76" cm="1">
        <f t="array" ref="G59">fcr_XN(G$10,$E$1,$K$1,$B59,$I$1,$B$5,$C$5,$B$3,$C$3,$D$3,$E$3,$F$3,$G$3,$H$3,$D$5,$E$5,$F$5,$G$5,$H$5,$B$7,$C$7,$D$7,$E$7,$G$7)</f>
        <v>1.2418187576263399E-2</v>
      </c>
      <c r="I59" s="76"/>
      <c r="J59" s="76"/>
      <c r="K59" s="76"/>
      <c r="L59" s="76"/>
      <c r="N59" s="13"/>
      <c r="O59" s="13"/>
      <c r="P59" s="13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</row>
    <row r="60" spans="1:100" x14ac:dyDescent="0.4">
      <c r="A60" s="73">
        <v>50</v>
      </c>
      <c r="B60" s="73">
        <v>360</v>
      </c>
      <c r="C60" s="76" cm="1">
        <f t="array" ref="C60">fcr_XN(C$10,$E$1,$K$1,$B60,$I$1,$B$5,$C$5,$B$3,$C$3,$D$3,$E$3,$F$3,$G$3,$H$3,$D$5,$E$5,$F$5,$G$5,$H$5,$B$7,$C$7,$D$7,$E$7,$G$7)</f>
        <v>1.7158092303775854E-4</v>
      </c>
      <c r="D60" s="76" cm="1">
        <f t="array" ref="D60">fcr_XN(D$10,$E$1,$K$1,$B60,$I$1,$B$5,$C$5,$B$3,$C$3,$D$3,$E$3,$F$3,$G$3,$H$3,$D$5,$E$5,$F$5,$G$5,$H$5,$B$7,$C$7,$D$7,$E$7,$G$7)</f>
        <v>4.2506951326888576E-4</v>
      </c>
      <c r="E60" s="76" cm="1">
        <f t="array" ref="E60">fcr_XN(E$10,$E$1,$K$1,$B60,$I$1,$B$5,$C$5,$B$3,$C$3,$D$3,$E$3,$F$3,$G$3,$H$3,$D$5,$E$5,$F$5,$G$5,$H$5,$B$7,$C$7,$D$7,$E$7,$G$7)</f>
        <v>1.5404928490376139E-3</v>
      </c>
      <c r="F60" s="76" cm="1">
        <f t="array" ref="F60">fcr_XN(F$10,$E$1,$K$1,$B60,$I$1,$B$5,$C$5,$B$3,$C$3,$D$3,$E$3,$F$3,$G$3,$H$3,$D$5,$E$5,$F$5,$G$5,$H$5,$B$7,$C$7,$D$7,$E$7,$G$7)</f>
        <v>7.6176749570156833E-3</v>
      </c>
      <c r="G60" s="76" cm="1">
        <f t="array" ref="G60">fcr_XN(G$10,$E$1,$K$1,$B60,$I$1,$B$5,$C$5,$B$3,$C$3,$D$3,$E$3,$F$3,$G$3,$H$3,$D$5,$E$5,$F$5,$G$5,$H$5,$B$7,$C$7,$D$7,$E$7,$G$7)</f>
        <v>1.0835536352067198E-2</v>
      </c>
      <c r="I60" s="76"/>
      <c r="J60" s="76"/>
      <c r="K60" s="76"/>
      <c r="L60" s="76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</row>
    <row r="61" spans="1:100" x14ac:dyDescent="0.4">
      <c r="A61" s="73">
        <v>51</v>
      </c>
      <c r="B61" s="73">
        <v>380</v>
      </c>
      <c r="C61" s="76" cm="1">
        <f t="array" ref="C61">fcr_XN(C$10,$E$1,$K$1,$B61,$I$1,$B$5,$C$5,$B$3,$C$3,$D$3,$E$3,$F$3,$G$3,$H$3,$D$5,$E$5,$F$5,$G$5,$H$5,$B$7,$C$7,$D$7,$E$7,$G$7)</f>
        <v>1.4893301841287202E-4</v>
      </c>
      <c r="D61" s="76" cm="1">
        <f t="array" ref="D61">fcr_XN(D$10,$E$1,$K$1,$B61,$I$1,$B$5,$C$5,$B$3,$C$3,$D$3,$E$3,$F$3,$G$3,$H$3,$D$5,$E$5,$F$5,$G$5,$H$5,$B$7,$C$7,$D$7,$E$7,$G$7)</f>
        <v>3.6916611571650803E-4</v>
      </c>
      <c r="E61" s="76" cm="1">
        <f t="array" ref="E61">fcr_XN(E$10,$E$1,$K$1,$B61,$I$1,$B$5,$C$5,$B$3,$C$3,$D$3,$E$3,$F$3,$G$3,$H$3,$D$5,$E$5,$F$5,$G$5,$H$5,$B$7,$C$7,$D$7,$E$7,$G$7)</f>
        <v>1.3397963417774762E-3</v>
      </c>
      <c r="F61" s="76" cm="1">
        <f t="array" ref="F61">fcr_XN(F$10,$E$1,$K$1,$B61,$I$1,$B$5,$C$5,$B$3,$C$3,$D$3,$E$3,$F$3,$G$3,$H$3,$D$5,$E$5,$F$5,$G$5,$H$5,$B$7,$C$7,$D$7,$E$7,$G$7)</f>
        <v>6.6493375302792172E-3</v>
      </c>
      <c r="G61" s="76" cm="1">
        <f t="array" ref="G61">fcr_XN(G$10,$E$1,$K$1,$B61,$I$1,$B$5,$C$5,$B$3,$C$3,$D$3,$E$3,$F$3,$G$3,$H$3,$D$5,$E$5,$F$5,$G$5,$H$5,$B$7,$C$7,$D$7,$E$7,$G$7)</f>
        <v>9.4644016834100429E-3</v>
      </c>
      <c r="I61" s="76"/>
      <c r="J61" s="76"/>
      <c r="K61" s="76"/>
      <c r="L61" s="76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</row>
    <row r="62" spans="1:100" x14ac:dyDescent="0.4">
      <c r="A62" s="73">
        <v>52</v>
      </c>
      <c r="B62" s="73">
        <v>400</v>
      </c>
      <c r="C62" s="76" cm="1">
        <f t="array" ref="C62">fcr_XN(C$10,$E$1,$K$1,$B62,$I$1,$B$5,$C$5,$B$3,$C$3,$D$3,$E$3,$F$3,$G$3,$H$3,$D$5,$E$5,$F$5,$G$5,$H$5,$B$7,$C$7,$D$7,$E$7,$G$7)</f>
        <v>1.2946633897091691E-4</v>
      </c>
      <c r="D62" s="76" cm="1">
        <f t="array" ref="D62">fcr_XN(D$10,$E$1,$K$1,$B62,$I$1,$B$5,$C$5,$B$3,$C$3,$D$3,$E$3,$F$3,$G$3,$H$3,$D$5,$E$5,$F$5,$G$5,$H$5,$B$7,$C$7,$D$7,$E$7,$G$7)</f>
        <v>3.2107298525904735E-4</v>
      </c>
      <c r="E62" s="76" cm="1">
        <f t="array" ref="E62">fcr_XN(E$10,$E$1,$K$1,$B62,$I$1,$B$5,$C$5,$B$3,$C$3,$D$3,$E$3,$F$3,$G$3,$H$3,$D$5,$E$5,$F$5,$G$5,$H$5,$B$7,$C$7,$D$7,$E$7,$G$7)</f>
        <v>1.1667475260259694E-3</v>
      </c>
      <c r="F62" s="76" cm="1">
        <f t="array" ref="F62">fcr_XN(F$10,$E$1,$K$1,$B62,$I$1,$B$5,$C$5,$B$3,$C$3,$D$3,$E$3,$F$3,$G$3,$H$3,$D$5,$E$5,$F$5,$G$5,$H$5,$B$7,$C$7,$D$7,$E$7,$G$7)</f>
        <v>5.8095102867509142E-3</v>
      </c>
      <c r="G62" s="76" cm="1">
        <f t="array" ref="G62">fcr_XN(G$10,$E$1,$K$1,$B62,$I$1,$B$5,$C$5,$B$3,$C$3,$D$3,$E$3,$F$3,$G$3,$H$3,$D$5,$E$5,$F$5,$G$5,$H$5,$B$7,$C$7,$D$7,$E$7,$G$7)</f>
        <v>8.2739476595617024E-3</v>
      </c>
      <c r="I62" s="76"/>
      <c r="J62" s="76"/>
      <c r="K62" s="76"/>
      <c r="L62" s="76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</row>
    <row r="71" spans="1:102" x14ac:dyDescent="0.4">
      <c r="A71" s="17"/>
      <c r="B71" s="17"/>
      <c r="C71" s="17"/>
      <c r="D71" s="17"/>
      <c r="E71" s="18"/>
      <c r="F71" s="18"/>
      <c r="G71" s="18"/>
      <c r="H71" s="18"/>
      <c r="I71" s="17"/>
      <c r="J71" s="18"/>
      <c r="K71" s="4"/>
      <c r="L71" s="4"/>
      <c r="M71" s="18"/>
      <c r="T71" s="17"/>
      <c r="U71" s="17"/>
      <c r="V71" s="17"/>
      <c r="W71" s="17"/>
      <c r="X71" s="17"/>
      <c r="Y71" s="18"/>
      <c r="Z71" s="18"/>
      <c r="AA71" s="18"/>
      <c r="AB71" s="18"/>
      <c r="AC71" s="18"/>
      <c r="AD71" s="17"/>
      <c r="AE71" s="18"/>
      <c r="AF71" s="4"/>
      <c r="AG71" s="4"/>
      <c r="AI71" s="18"/>
      <c r="AJ71" s="17"/>
      <c r="AK71" s="18"/>
      <c r="AL71" s="18"/>
      <c r="AM71" s="18"/>
      <c r="AN71" s="18"/>
      <c r="AO71" s="18"/>
      <c r="AP71" s="17"/>
      <c r="AQ71" s="17"/>
      <c r="AR71" s="17"/>
      <c r="AS71" s="17"/>
      <c r="AT71" s="18"/>
      <c r="AU71" s="18"/>
      <c r="AV71" s="18"/>
      <c r="AW71" s="18"/>
      <c r="AX71" s="17"/>
      <c r="AY71" s="18"/>
      <c r="AZ71" s="4"/>
      <c r="BB71" s="18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8"/>
      <c r="BN71" s="18"/>
      <c r="BO71" s="18"/>
      <c r="BP71" s="18"/>
      <c r="BQ71" s="17"/>
      <c r="BR71" s="18"/>
      <c r="BS71" s="4"/>
      <c r="BU71" s="18"/>
      <c r="BV71" s="17"/>
      <c r="BW71" s="18"/>
      <c r="BX71" s="17"/>
      <c r="CD71" s="17"/>
      <c r="CE71" s="17"/>
      <c r="CF71" s="17"/>
      <c r="CG71" s="17"/>
      <c r="CH71" s="17"/>
      <c r="CI71" s="17"/>
      <c r="CJ71" s="17"/>
      <c r="CK71" s="18"/>
      <c r="CL71" s="18"/>
      <c r="CM71" s="18"/>
      <c r="CN71" s="18"/>
      <c r="CO71" s="18"/>
      <c r="CP71" s="18"/>
      <c r="CQ71" s="17"/>
      <c r="CR71" s="18"/>
      <c r="CS71" s="4"/>
      <c r="CU71" s="18"/>
      <c r="CV71" s="17"/>
      <c r="CW71" s="18"/>
      <c r="CX71" s="17"/>
    </row>
    <row r="72" spans="1:102" x14ac:dyDescent="0.4">
      <c r="A72" s="17"/>
      <c r="B72" s="18"/>
      <c r="C72" s="18"/>
      <c r="D72" s="18"/>
      <c r="E72" s="4"/>
      <c r="F72" s="18"/>
      <c r="G72" s="4"/>
      <c r="H72" s="4"/>
      <c r="I72" s="18"/>
      <c r="J72" s="18"/>
      <c r="K72" s="18"/>
      <c r="L72" s="18"/>
      <c r="M72" s="18"/>
      <c r="T72" s="17"/>
      <c r="U72" s="18"/>
      <c r="V72" s="18"/>
      <c r="W72" s="18"/>
      <c r="X72" s="18"/>
      <c r="Y72" s="4"/>
      <c r="Z72" s="18"/>
      <c r="AA72" s="4"/>
      <c r="AB72" s="4"/>
      <c r="AC72" s="4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7"/>
      <c r="AQ72" s="18"/>
      <c r="AR72" s="18"/>
      <c r="AS72" s="18"/>
      <c r="AT72" s="4"/>
      <c r="AU72" s="18"/>
      <c r="AV72" s="4"/>
      <c r="AW72" s="4"/>
      <c r="AX72" s="18"/>
      <c r="AY72" s="18"/>
      <c r="AZ72" s="18"/>
      <c r="BA72" s="18"/>
      <c r="BB72" s="18"/>
      <c r="BC72" s="18"/>
      <c r="BD72" s="17"/>
      <c r="BE72" s="17"/>
      <c r="BF72" s="17"/>
      <c r="BG72" s="35"/>
      <c r="BH72" s="17"/>
      <c r="BI72" s="17"/>
      <c r="BJ72" s="18"/>
      <c r="BK72" s="18"/>
      <c r="BL72" s="18"/>
      <c r="BM72" s="4"/>
      <c r="BN72" s="18"/>
      <c r="BO72" s="4"/>
      <c r="BP72" s="4"/>
      <c r="BQ72" s="18"/>
      <c r="BR72" s="18"/>
      <c r="BS72" s="18"/>
      <c r="BT72" s="18"/>
      <c r="BU72" s="18"/>
      <c r="BV72" s="18"/>
      <c r="BW72" s="18"/>
      <c r="BX72" s="18"/>
      <c r="CD72" s="17"/>
      <c r="CE72" s="17"/>
      <c r="CF72" s="17"/>
      <c r="CG72" s="35"/>
      <c r="CH72" s="17"/>
      <c r="CI72" s="17"/>
      <c r="CJ72" s="17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7"/>
      <c r="CW72" s="18"/>
      <c r="CX72" s="18"/>
    </row>
    <row r="73" spans="1:102" x14ac:dyDescent="0.4">
      <c r="A73" s="17"/>
      <c r="B73" s="17"/>
      <c r="C73" s="17"/>
      <c r="D73" s="17"/>
      <c r="E73" s="20"/>
      <c r="F73" s="20"/>
      <c r="G73" s="20"/>
      <c r="H73" s="20"/>
      <c r="N73" s="17"/>
      <c r="T73" s="17"/>
      <c r="U73" s="17"/>
      <c r="V73" s="17"/>
      <c r="W73" s="17"/>
      <c r="X73" s="17"/>
      <c r="Y73" s="20"/>
      <c r="Z73" s="20"/>
      <c r="AA73" s="20"/>
      <c r="AB73" s="20"/>
      <c r="AC73" s="20"/>
      <c r="AK73" s="18"/>
      <c r="AL73" s="18"/>
      <c r="AM73" s="4"/>
      <c r="AN73" s="18"/>
      <c r="AO73" s="4"/>
      <c r="AP73" s="17"/>
      <c r="AQ73" s="17"/>
      <c r="AR73" s="17"/>
      <c r="AS73" s="17"/>
      <c r="AT73" s="20"/>
      <c r="AU73" s="20"/>
      <c r="AV73" s="20"/>
      <c r="AW73" s="20"/>
      <c r="BD73" s="17"/>
      <c r="BE73" s="17"/>
      <c r="BF73" s="17"/>
      <c r="BG73" s="17"/>
      <c r="BH73" s="19"/>
      <c r="BI73" s="17"/>
      <c r="BJ73" s="17"/>
      <c r="BK73" s="17"/>
      <c r="BL73" s="17"/>
      <c r="BM73" s="20"/>
      <c r="BN73" s="20"/>
      <c r="BO73" s="20"/>
      <c r="BP73" s="20"/>
      <c r="BW73" s="18"/>
      <c r="BX73" s="18"/>
      <c r="CD73" s="17"/>
      <c r="CE73" s="17"/>
      <c r="CF73" s="17"/>
      <c r="CG73" s="17"/>
      <c r="CH73" s="19"/>
      <c r="CI73" s="18"/>
      <c r="CJ73" s="18"/>
      <c r="CK73" s="18"/>
      <c r="CL73" s="18"/>
      <c r="CM73" s="4"/>
      <c r="CN73" s="18"/>
      <c r="CO73" s="4"/>
      <c r="CP73" s="4"/>
      <c r="CQ73" s="18"/>
      <c r="CR73" s="18"/>
      <c r="CS73" s="18"/>
      <c r="CT73" s="18"/>
      <c r="CU73" s="18"/>
      <c r="CV73" s="18"/>
      <c r="CW73" s="18"/>
      <c r="CX73" s="18"/>
    </row>
    <row r="74" spans="1:102" x14ac:dyDescent="0.4">
      <c r="B74" s="19"/>
      <c r="C74" s="18"/>
      <c r="D74" s="18"/>
      <c r="E74" s="18"/>
      <c r="F74" s="18"/>
      <c r="G74" s="18"/>
      <c r="H74" s="18"/>
      <c r="I74" s="18"/>
      <c r="J74" s="18"/>
      <c r="K74" s="19"/>
      <c r="L74" s="19"/>
      <c r="N74" s="18"/>
      <c r="O74" s="18"/>
      <c r="U74" s="19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9"/>
      <c r="AG74" s="19"/>
      <c r="AH74" s="19"/>
      <c r="AK74" s="17"/>
      <c r="AL74" s="17"/>
      <c r="AM74" s="20"/>
      <c r="AN74" s="20"/>
      <c r="AO74" s="20"/>
      <c r="AQ74" s="19"/>
      <c r="AR74" s="18"/>
      <c r="AS74" s="18"/>
      <c r="AT74" s="18"/>
      <c r="AU74" s="18"/>
      <c r="AV74" s="18"/>
      <c r="AW74" s="18"/>
      <c r="AX74" s="18"/>
      <c r="AY74" s="18"/>
      <c r="AZ74" s="19"/>
      <c r="BA74" s="19"/>
      <c r="BD74" s="17"/>
      <c r="BE74" s="17"/>
      <c r="BF74" s="17"/>
      <c r="BG74" s="17"/>
      <c r="BH74" s="17"/>
      <c r="BJ74" s="19"/>
      <c r="BK74" s="18"/>
      <c r="BL74" s="18"/>
      <c r="BM74" s="18"/>
      <c r="BN74" s="18"/>
      <c r="BO74" s="18"/>
      <c r="BP74" s="18"/>
      <c r="BQ74" s="18"/>
      <c r="BR74" s="18"/>
      <c r="BS74" s="19"/>
      <c r="BT74" s="19"/>
      <c r="BW74" s="20"/>
      <c r="BX74" s="18"/>
      <c r="CD74" s="17"/>
      <c r="CE74" s="17"/>
      <c r="CF74" s="17"/>
      <c r="CG74" s="17"/>
      <c r="CH74" s="17"/>
      <c r="CI74" s="17"/>
      <c r="CJ74" s="17"/>
      <c r="CK74" s="17"/>
      <c r="CL74" s="17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18"/>
    </row>
    <row r="75" spans="1:102" ht="15.4" x14ac:dyDescent="0.45">
      <c r="A75" s="17"/>
      <c r="B75" s="17"/>
      <c r="C75" s="17"/>
      <c r="D75" s="20"/>
      <c r="E75" s="20"/>
      <c r="F75" s="20"/>
      <c r="G75" s="20"/>
      <c r="H75" s="20"/>
      <c r="I75" s="20"/>
      <c r="J75" s="20"/>
      <c r="K75" s="17"/>
      <c r="L75" s="17"/>
      <c r="T75" s="17"/>
      <c r="U75" s="17"/>
      <c r="V75" s="17"/>
      <c r="W75" s="17"/>
      <c r="X75" s="20"/>
      <c r="Y75" s="20"/>
      <c r="Z75" s="20"/>
      <c r="AA75" s="20"/>
      <c r="AB75" s="20"/>
      <c r="AC75" s="20"/>
      <c r="AD75" s="20"/>
      <c r="AE75" s="20"/>
      <c r="AF75" s="17"/>
      <c r="AG75" s="17"/>
      <c r="AH75" s="17"/>
      <c r="AK75" s="18"/>
      <c r="AL75" s="18"/>
      <c r="AM75" s="22"/>
      <c r="AN75" s="17"/>
      <c r="AO75" s="18"/>
      <c r="AP75" s="17"/>
      <c r="AQ75" s="17"/>
      <c r="AR75" s="17"/>
      <c r="AS75" s="20"/>
      <c r="AT75" s="20"/>
      <c r="AU75" s="20"/>
      <c r="AV75" s="20"/>
      <c r="AW75" s="20"/>
      <c r="AX75" s="20"/>
      <c r="AY75" s="20"/>
      <c r="AZ75" s="17"/>
      <c r="BA75" s="17"/>
      <c r="BD75" s="17"/>
      <c r="BE75" s="17"/>
      <c r="BF75" s="17"/>
      <c r="BG75" s="17"/>
      <c r="BH75" s="19"/>
      <c r="BI75" s="17"/>
      <c r="BJ75" s="17"/>
      <c r="BK75" s="17"/>
      <c r="BL75" s="20"/>
      <c r="BM75" s="20"/>
      <c r="BN75" s="20"/>
      <c r="BO75" s="20"/>
      <c r="BP75" s="20"/>
      <c r="BQ75" s="20"/>
      <c r="BR75" s="20"/>
      <c r="BS75" s="17"/>
      <c r="BT75" s="17"/>
      <c r="BW75" s="18"/>
      <c r="BX75" s="18"/>
      <c r="CD75" s="17"/>
      <c r="CE75" s="17"/>
      <c r="CF75" s="17"/>
      <c r="CG75" s="17"/>
      <c r="CH75" s="19"/>
      <c r="CI75" s="19"/>
      <c r="CJ75" s="18"/>
      <c r="CK75" s="18"/>
      <c r="CL75" s="18"/>
      <c r="CM75" s="22"/>
      <c r="CN75" s="17"/>
      <c r="CO75" s="18"/>
      <c r="CP75" s="22"/>
      <c r="CQ75" s="23"/>
      <c r="CR75" s="23"/>
      <c r="CS75" s="23"/>
      <c r="CT75" s="23"/>
      <c r="CU75" s="23"/>
      <c r="CV75" s="23"/>
      <c r="CW75" s="18"/>
      <c r="CX75" s="18"/>
    </row>
    <row r="76" spans="1:102" ht="15.4" x14ac:dyDescent="0.45">
      <c r="A76" s="17"/>
      <c r="B76" s="22"/>
      <c r="C76" s="18"/>
      <c r="D76" s="18"/>
      <c r="E76" s="18"/>
      <c r="F76" s="17"/>
      <c r="G76" s="18"/>
      <c r="H76" s="22"/>
      <c r="I76" s="23"/>
      <c r="J76" s="23"/>
      <c r="K76" s="23"/>
      <c r="L76" s="23"/>
      <c r="M76" s="23"/>
      <c r="T76" s="17"/>
      <c r="U76" s="22"/>
      <c r="V76" s="18"/>
      <c r="W76" s="18"/>
      <c r="X76" s="18"/>
      <c r="Y76" s="18"/>
      <c r="Z76" s="17"/>
      <c r="AA76" s="18"/>
      <c r="AB76" s="18"/>
      <c r="AC76" s="22"/>
      <c r="AD76" s="23"/>
      <c r="AE76" s="23"/>
      <c r="AF76" s="23"/>
      <c r="AG76" s="23"/>
      <c r="AH76" s="23"/>
      <c r="AI76" s="23"/>
      <c r="AJ76" s="23"/>
      <c r="AK76" s="21"/>
      <c r="AL76" s="21"/>
      <c r="AM76" s="21"/>
      <c r="AN76" s="21"/>
      <c r="AO76" s="24"/>
      <c r="AP76" s="17"/>
      <c r="AQ76" s="22"/>
      <c r="AR76" s="18"/>
      <c r="AS76" s="18"/>
      <c r="AT76" s="18"/>
      <c r="AU76" s="17"/>
      <c r="AV76" s="18"/>
      <c r="AW76" s="22"/>
      <c r="AX76" s="23"/>
      <c r="AY76" s="23"/>
      <c r="AZ76" s="23"/>
      <c r="BA76" s="23"/>
      <c r="BB76" s="23"/>
      <c r="BC76" s="23"/>
      <c r="BD76" s="17"/>
      <c r="BE76" s="17"/>
      <c r="BF76" s="17"/>
      <c r="BG76" s="17"/>
      <c r="BH76" s="17"/>
      <c r="BI76" s="17"/>
      <c r="BJ76" s="22"/>
      <c r="BK76" s="18"/>
      <c r="BL76" s="18"/>
      <c r="BM76" s="18"/>
      <c r="BN76" s="17"/>
      <c r="BO76" s="18"/>
      <c r="BP76" s="22"/>
      <c r="BQ76" s="23"/>
      <c r="BR76" s="23"/>
      <c r="BS76" s="23"/>
      <c r="BT76" s="23"/>
      <c r="BU76" s="23"/>
      <c r="BV76" s="23"/>
      <c r="BW76" s="20"/>
      <c r="BX76" s="20"/>
      <c r="CD76" s="17"/>
      <c r="CE76" s="17"/>
      <c r="CF76" s="17"/>
      <c r="CG76" s="17"/>
      <c r="CH76" s="17"/>
      <c r="CI76" s="17"/>
      <c r="CJ76" s="21"/>
      <c r="CK76" s="21"/>
      <c r="CL76" s="21"/>
      <c r="CM76" s="21"/>
      <c r="CN76" s="21"/>
      <c r="CO76" s="24"/>
      <c r="CP76" s="21"/>
      <c r="CQ76" s="21"/>
      <c r="CR76" s="21"/>
      <c r="CS76" s="21"/>
      <c r="CT76" s="21"/>
      <c r="CU76" s="21"/>
      <c r="CV76" s="24"/>
      <c r="CW76" s="20"/>
      <c r="CX76" s="20"/>
    </row>
    <row r="77" spans="1:102" x14ac:dyDescent="0.4">
      <c r="A77" s="17"/>
      <c r="B77" s="21"/>
      <c r="C77" s="21"/>
      <c r="D77" s="21"/>
      <c r="E77" s="21"/>
      <c r="F77" s="21"/>
      <c r="G77" s="24"/>
      <c r="I77" s="17"/>
      <c r="J77" s="21"/>
      <c r="K77" s="21"/>
      <c r="L77" s="21"/>
      <c r="M77" s="21"/>
      <c r="Q77" s="17"/>
      <c r="R77" s="17"/>
      <c r="S77" s="17"/>
      <c r="T77" s="17"/>
      <c r="U77" s="21"/>
      <c r="V77" s="21"/>
      <c r="W77" s="21"/>
      <c r="X77" s="21"/>
      <c r="Y77" s="21"/>
      <c r="Z77" s="21"/>
      <c r="AA77" s="24"/>
      <c r="AB77" s="24"/>
      <c r="AD77" s="17"/>
      <c r="AE77" s="21"/>
      <c r="AF77" s="21"/>
      <c r="AG77" s="21"/>
      <c r="AH77" s="21"/>
      <c r="AI77" s="21"/>
      <c r="AJ77" s="24"/>
      <c r="AO77" s="17"/>
      <c r="AP77" s="17"/>
      <c r="AQ77" s="21"/>
      <c r="AR77" s="21"/>
      <c r="AS77" s="21"/>
      <c r="AT77" s="21"/>
      <c r="AU77" s="21"/>
      <c r="AV77" s="24"/>
      <c r="AX77" s="17"/>
      <c r="AY77" s="21"/>
      <c r="AZ77" s="21"/>
      <c r="BA77" s="21"/>
      <c r="BB77" s="21"/>
      <c r="BC77" s="24"/>
      <c r="BD77" s="17"/>
      <c r="BE77" s="36"/>
      <c r="BF77" s="17"/>
      <c r="BG77" s="17"/>
      <c r="BI77" s="17"/>
      <c r="BJ77" s="21"/>
      <c r="BK77" s="21"/>
      <c r="BL77" s="21"/>
      <c r="BM77" s="21"/>
      <c r="BN77" s="21"/>
      <c r="BO77" s="24"/>
      <c r="BQ77" s="17"/>
      <c r="BR77" s="21"/>
      <c r="BS77" s="21"/>
      <c r="BT77" s="21"/>
      <c r="BU77" s="21"/>
      <c r="BV77" s="24"/>
      <c r="BW77" s="17"/>
      <c r="BX77" s="17"/>
      <c r="CD77" s="17"/>
      <c r="CE77" s="36"/>
      <c r="CF77" s="17"/>
      <c r="CG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102" x14ac:dyDescent="0.4">
      <c r="A78" s="17"/>
      <c r="B78" s="17"/>
      <c r="C78" s="17"/>
      <c r="D78" s="17"/>
      <c r="M78" s="25"/>
      <c r="N78" s="23"/>
      <c r="O78" s="18"/>
      <c r="P78" s="18"/>
      <c r="Q78" s="17"/>
      <c r="R78" s="17"/>
      <c r="S78" s="17"/>
      <c r="T78" s="17"/>
      <c r="U78" s="17"/>
      <c r="AC78" s="17"/>
      <c r="AD78" s="17"/>
      <c r="AE78" s="17"/>
      <c r="AF78" s="17"/>
      <c r="AG78" s="17"/>
      <c r="AO78" s="25"/>
      <c r="AP78" s="25"/>
      <c r="AQ78" s="25"/>
      <c r="AR78" s="25"/>
      <c r="AS78" s="17"/>
      <c r="AT78" s="17"/>
      <c r="AU78" s="17"/>
      <c r="AV78" s="17"/>
      <c r="AW78" s="17"/>
      <c r="AX78" s="17"/>
      <c r="BD78" s="17"/>
      <c r="BE78" s="17"/>
      <c r="BF78" s="17"/>
      <c r="BG78" s="17"/>
      <c r="BO78" s="25"/>
      <c r="BP78" s="25"/>
      <c r="BQ78" s="25"/>
      <c r="BR78" s="25"/>
      <c r="BS78" s="17"/>
      <c r="BT78" s="17"/>
      <c r="BU78" s="17"/>
      <c r="BV78" s="17"/>
      <c r="BW78" s="17"/>
      <c r="BX78" s="17"/>
      <c r="CD78" s="17"/>
      <c r="CE78" s="17"/>
      <c r="CF78" s="17"/>
      <c r="CG78" s="17"/>
      <c r="CO78" s="25"/>
      <c r="CP78" s="25"/>
      <c r="CQ78" s="25"/>
      <c r="CR78" s="25"/>
      <c r="CS78" s="17"/>
      <c r="CT78" s="17"/>
      <c r="CU78" s="17"/>
      <c r="CV78" s="17"/>
      <c r="CW78" s="17"/>
      <c r="CX78" s="17"/>
    </row>
    <row r="79" spans="1:102" x14ac:dyDescent="0.4">
      <c r="A79" s="17"/>
      <c r="B79" s="17"/>
      <c r="C79" s="21"/>
      <c r="D79" s="17"/>
      <c r="E79" s="17"/>
      <c r="M79" s="21"/>
      <c r="N79" s="24"/>
      <c r="O79" s="20"/>
      <c r="P79" s="20"/>
      <c r="Q79" s="21"/>
      <c r="R79" s="21"/>
      <c r="AD79" s="36"/>
      <c r="AE79" s="21"/>
      <c r="AF79" s="17"/>
      <c r="AG79" s="17"/>
      <c r="AH79" s="17"/>
      <c r="AO79" s="21"/>
      <c r="AP79" s="21"/>
      <c r="AQ79" s="21"/>
      <c r="AR79" s="21"/>
      <c r="AS79" s="21"/>
      <c r="AT79" s="21"/>
      <c r="AU79" s="21"/>
      <c r="BE79" s="36"/>
      <c r="BF79" s="21"/>
      <c r="BG79" s="17"/>
      <c r="BH79" s="17"/>
      <c r="BO79" s="21"/>
      <c r="BP79" s="21"/>
      <c r="BQ79" s="21"/>
      <c r="BR79" s="21"/>
      <c r="BS79" s="21"/>
      <c r="BT79" s="21"/>
      <c r="BU79" s="21"/>
      <c r="CE79" s="36"/>
      <c r="CF79" s="21"/>
      <c r="CG79" s="17"/>
      <c r="CH79" s="17"/>
      <c r="CO79" s="21"/>
      <c r="CP79" s="21"/>
      <c r="CQ79" s="21"/>
      <c r="CR79" s="21"/>
      <c r="CS79" s="21"/>
      <c r="CT79" s="21"/>
      <c r="CU79" s="21"/>
    </row>
    <row r="80" spans="1:102" x14ac:dyDescent="0.4">
      <c r="A80" s="17"/>
      <c r="B80" s="17"/>
      <c r="C80" s="17"/>
      <c r="D80" s="23"/>
      <c r="E80" s="23"/>
      <c r="F80" s="17"/>
      <c r="G80" s="17"/>
      <c r="H80" s="23"/>
      <c r="I80" s="23"/>
      <c r="J80" s="23"/>
      <c r="K80" s="26"/>
      <c r="L80" s="26"/>
      <c r="M80" s="23"/>
      <c r="N80" s="25"/>
      <c r="O80" s="25"/>
      <c r="P80" s="17"/>
      <c r="Q80" s="17"/>
      <c r="R80" s="17"/>
      <c r="V80" s="17"/>
      <c r="W80" s="17"/>
      <c r="X80" s="23"/>
      <c r="Y80" s="23"/>
      <c r="Z80" s="17"/>
      <c r="AA80" s="17"/>
      <c r="AB80" s="17"/>
      <c r="AC80" s="17"/>
      <c r="AD80" s="17"/>
      <c r="AE80" s="17"/>
      <c r="AF80" s="23"/>
      <c r="AG80" s="23"/>
      <c r="AH80" s="37"/>
      <c r="AI80" s="37"/>
      <c r="AJ80" s="26"/>
      <c r="AK80" s="23"/>
      <c r="AL80" s="23"/>
      <c r="AM80" s="23"/>
      <c r="AN80" s="26"/>
      <c r="AO80" s="23"/>
      <c r="AR80" s="17"/>
      <c r="AS80" s="23"/>
      <c r="AT80" s="23"/>
      <c r="AU80" s="17"/>
      <c r="AV80" s="17"/>
      <c r="BD80" s="17"/>
      <c r="BE80" s="17"/>
      <c r="BF80" s="17"/>
      <c r="BG80" s="23"/>
      <c r="BH80" s="37"/>
      <c r="BK80" s="17"/>
      <c r="BL80" s="23"/>
      <c r="BM80" s="23"/>
      <c r="BN80" s="17"/>
      <c r="BO80" s="17"/>
      <c r="BP80" s="23"/>
      <c r="BQ80" s="17"/>
      <c r="BR80" s="17"/>
      <c r="BS80" s="17"/>
      <c r="BT80" s="17"/>
      <c r="BU80" s="17"/>
      <c r="CD80" s="17"/>
      <c r="CE80" s="17"/>
      <c r="CF80" s="17"/>
      <c r="CG80" s="23"/>
      <c r="CH80" s="37"/>
      <c r="CI80" s="37"/>
      <c r="CJ80" s="26"/>
      <c r="CK80" s="23"/>
      <c r="CL80" s="23"/>
      <c r="CM80" s="23"/>
      <c r="CN80" s="26"/>
      <c r="CO80" s="23"/>
      <c r="CP80" s="23"/>
      <c r="CQ80" s="17"/>
      <c r="CR80" s="17"/>
      <c r="CS80" s="17"/>
      <c r="CT80" s="17"/>
      <c r="CU80" s="17"/>
    </row>
    <row r="81" spans="1:99" x14ac:dyDescent="0.4">
      <c r="A81" s="17"/>
      <c r="B81" s="17"/>
      <c r="C81" s="17"/>
      <c r="D81" s="20"/>
      <c r="E81" s="20"/>
      <c r="F81" s="20"/>
      <c r="G81" s="20"/>
      <c r="H81" s="29"/>
      <c r="I81" s="3"/>
      <c r="J81" s="13"/>
      <c r="K81" s="13"/>
      <c r="L81" s="13"/>
      <c r="M81" s="13"/>
      <c r="N81" s="21"/>
      <c r="O81" s="21"/>
      <c r="P81" s="21"/>
      <c r="Q81" s="13"/>
      <c r="R81" s="13"/>
      <c r="T81" s="17"/>
      <c r="U81" s="17"/>
      <c r="V81" s="17"/>
      <c r="W81" s="17"/>
      <c r="AC81" s="17"/>
      <c r="AD81" s="17"/>
      <c r="AE81" s="17"/>
      <c r="AF81" s="27"/>
      <c r="AG81" s="27"/>
      <c r="AH81" s="28"/>
      <c r="AI81" s="28"/>
      <c r="AJ81" s="28"/>
      <c r="AK81" s="29"/>
      <c r="AL81" s="3"/>
      <c r="AM81" s="13"/>
      <c r="AN81" s="13"/>
      <c r="AO81" s="13"/>
      <c r="AP81" s="17"/>
      <c r="AQ81" s="17"/>
      <c r="AR81" s="17"/>
      <c r="BD81" s="17"/>
      <c r="BE81" s="17"/>
      <c r="BF81" s="17"/>
      <c r="BG81" s="27"/>
      <c r="BH81" s="28"/>
      <c r="BI81" s="17"/>
      <c r="BJ81" s="17"/>
      <c r="BK81" s="17"/>
      <c r="BP81" s="13"/>
      <c r="BQ81" s="13"/>
      <c r="BR81" s="13"/>
      <c r="BS81" s="13"/>
      <c r="BT81" s="13"/>
      <c r="BU81" s="13"/>
      <c r="CD81" s="17"/>
      <c r="CE81" s="17"/>
      <c r="CF81" s="17"/>
      <c r="CG81" s="27"/>
      <c r="CH81" s="28"/>
      <c r="CI81" s="28"/>
      <c r="CJ81" s="28"/>
      <c r="CK81" s="29"/>
      <c r="CL81" s="3"/>
      <c r="CM81" s="13"/>
      <c r="CN81" s="13"/>
      <c r="CO81" s="13"/>
      <c r="CP81" s="13"/>
      <c r="CQ81" s="13"/>
      <c r="CR81" s="13"/>
      <c r="CS81" s="13"/>
      <c r="CT81" s="13"/>
      <c r="CU81" s="13"/>
    </row>
    <row r="82" spans="1:99" x14ac:dyDescent="0.4">
      <c r="A82" s="17"/>
      <c r="B82" s="17"/>
      <c r="C82" s="17"/>
      <c r="D82" s="20"/>
      <c r="E82" s="20"/>
      <c r="F82" s="20"/>
      <c r="G82" s="20"/>
      <c r="H82" s="29"/>
      <c r="I82" s="3"/>
      <c r="J82" s="13"/>
      <c r="K82" s="13"/>
      <c r="L82" s="13"/>
      <c r="M82" s="13"/>
      <c r="N82" s="17"/>
      <c r="O82" s="17"/>
      <c r="P82" s="17"/>
      <c r="Q82" s="13"/>
      <c r="R82" s="13"/>
      <c r="T82" s="17"/>
      <c r="U82" s="17"/>
      <c r="V82" s="17"/>
      <c r="W82" s="17"/>
      <c r="AC82" s="17"/>
      <c r="AD82" s="17"/>
      <c r="AE82" s="17"/>
      <c r="AF82" s="27"/>
      <c r="AG82" s="27"/>
      <c r="AH82" s="28"/>
      <c r="AI82" s="28"/>
      <c r="AJ82" s="28"/>
      <c r="AK82" s="29"/>
      <c r="AL82" s="3"/>
      <c r="AM82" s="13"/>
      <c r="AN82" s="13"/>
      <c r="AO82" s="13"/>
      <c r="AP82" s="17"/>
      <c r="AQ82" s="17"/>
      <c r="AR82" s="17"/>
      <c r="BD82" s="17"/>
      <c r="BE82" s="17"/>
      <c r="BF82" s="17"/>
      <c r="BG82" s="27"/>
      <c r="BH82" s="28"/>
      <c r="BI82" s="17"/>
      <c r="BJ82" s="17"/>
      <c r="BK82" s="17"/>
      <c r="BP82" s="13"/>
      <c r="BQ82" s="13"/>
      <c r="BR82" s="13"/>
      <c r="BS82" s="13"/>
      <c r="BT82" s="13"/>
      <c r="BU82" s="13"/>
      <c r="CD82" s="17"/>
      <c r="CE82" s="17"/>
      <c r="CF82" s="17"/>
      <c r="CG82" s="27"/>
      <c r="CH82" s="28"/>
      <c r="CI82" s="28"/>
      <c r="CJ82" s="28"/>
      <c r="CK82" s="29"/>
      <c r="CL82" s="3"/>
      <c r="CM82" s="13"/>
      <c r="CN82" s="13"/>
      <c r="CO82" s="13"/>
      <c r="CP82" s="13"/>
      <c r="CQ82" s="13"/>
      <c r="CR82" s="13"/>
      <c r="CS82" s="13"/>
      <c r="CT82" s="13"/>
      <c r="CU82" s="13"/>
    </row>
    <row r="83" spans="1:99" x14ac:dyDescent="0.4">
      <c r="A83" s="17"/>
      <c r="B83" s="17"/>
      <c r="C83" s="17"/>
      <c r="D83" s="20"/>
      <c r="E83" s="20"/>
      <c r="F83" s="20"/>
      <c r="G83" s="20"/>
      <c r="H83" s="29"/>
      <c r="I83" s="3"/>
      <c r="J83" s="13"/>
      <c r="K83" s="13"/>
      <c r="L83" s="13"/>
      <c r="M83" s="13"/>
      <c r="N83" s="13"/>
      <c r="O83" s="13"/>
      <c r="P83" s="13"/>
      <c r="Q83" s="13"/>
      <c r="R83" s="13"/>
      <c r="T83" s="17"/>
      <c r="U83" s="17"/>
      <c r="V83" s="17"/>
      <c r="W83" s="17"/>
      <c r="AC83" s="17"/>
      <c r="AD83" s="17"/>
      <c r="AE83" s="17"/>
      <c r="AF83" s="27"/>
      <c r="AG83" s="27"/>
      <c r="AH83" s="28"/>
      <c r="AI83" s="28"/>
      <c r="AJ83" s="28"/>
      <c r="AK83" s="29"/>
      <c r="AL83" s="3"/>
      <c r="AM83" s="13"/>
      <c r="AN83" s="13"/>
      <c r="AO83" s="13"/>
      <c r="AP83" s="17"/>
      <c r="AQ83" s="17"/>
      <c r="AR83" s="17"/>
      <c r="BD83" s="17"/>
      <c r="BE83" s="17"/>
      <c r="BF83" s="17"/>
      <c r="BG83" s="27"/>
      <c r="BH83" s="28"/>
      <c r="BI83" s="17"/>
      <c r="BJ83" s="17"/>
      <c r="BK83" s="17"/>
      <c r="BP83" s="13"/>
      <c r="BQ83" s="13"/>
      <c r="BR83" s="13"/>
      <c r="BS83" s="13"/>
      <c r="BT83" s="13"/>
      <c r="BU83" s="13"/>
      <c r="CD83" s="17"/>
      <c r="CE83" s="17"/>
      <c r="CF83" s="17"/>
      <c r="CG83" s="27"/>
      <c r="CH83" s="28"/>
      <c r="CI83" s="28"/>
      <c r="CJ83" s="28"/>
      <c r="CK83" s="29"/>
      <c r="CL83" s="3"/>
      <c r="CM83" s="13"/>
      <c r="CN83" s="13"/>
      <c r="CO83" s="13"/>
      <c r="CP83" s="13"/>
      <c r="CQ83" s="13"/>
      <c r="CR83" s="13"/>
      <c r="CS83" s="13"/>
      <c r="CT83" s="13"/>
      <c r="CU83" s="13"/>
    </row>
    <row r="84" spans="1:99" x14ac:dyDescent="0.4">
      <c r="A84" s="17"/>
      <c r="B84" s="17"/>
      <c r="C84" s="17"/>
      <c r="D84" s="20"/>
      <c r="E84" s="20"/>
      <c r="F84" s="20"/>
      <c r="G84" s="20"/>
      <c r="H84" s="29"/>
      <c r="I84" s="3"/>
      <c r="J84" s="13"/>
      <c r="K84" s="13"/>
      <c r="L84" s="13"/>
      <c r="M84" s="13"/>
      <c r="N84" s="13"/>
      <c r="O84" s="13"/>
      <c r="P84" s="13"/>
      <c r="Q84" s="13"/>
      <c r="R84" s="13"/>
      <c r="T84" s="17"/>
      <c r="U84" s="17"/>
      <c r="V84" s="17"/>
      <c r="W84" s="17"/>
      <c r="AC84" s="17"/>
      <c r="AD84" s="17"/>
      <c r="AE84" s="17"/>
      <c r="AF84" s="27"/>
      <c r="AG84" s="27"/>
      <c r="AH84" s="28"/>
      <c r="AI84" s="28"/>
      <c r="AJ84" s="28"/>
      <c r="AK84" s="29"/>
      <c r="AL84" s="3"/>
      <c r="AM84" s="13"/>
      <c r="AN84" s="13"/>
      <c r="AO84" s="13"/>
      <c r="AP84" s="17"/>
      <c r="AQ84" s="17"/>
      <c r="AR84" s="17"/>
      <c r="BD84" s="17"/>
      <c r="BE84" s="17"/>
      <c r="BF84" s="17"/>
      <c r="BG84" s="27"/>
      <c r="BH84" s="28"/>
      <c r="BI84" s="17"/>
      <c r="BJ84" s="17"/>
      <c r="BK84" s="17"/>
      <c r="BP84" s="13"/>
      <c r="BQ84" s="13"/>
      <c r="BR84" s="13"/>
      <c r="BS84" s="13"/>
      <c r="BT84" s="13"/>
      <c r="BU84" s="13"/>
      <c r="CD84" s="17"/>
      <c r="CE84" s="17"/>
      <c r="CF84" s="17"/>
      <c r="CG84" s="27"/>
      <c r="CH84" s="28"/>
      <c r="CI84" s="28"/>
      <c r="CJ84" s="28"/>
      <c r="CK84" s="29"/>
      <c r="CL84" s="3"/>
      <c r="CM84" s="13"/>
      <c r="CN84" s="13"/>
      <c r="CO84" s="13"/>
      <c r="CP84" s="13"/>
      <c r="CQ84" s="13"/>
      <c r="CR84" s="13"/>
      <c r="CS84" s="13"/>
      <c r="CT84" s="13"/>
      <c r="CU84" s="13"/>
    </row>
    <row r="85" spans="1:99" x14ac:dyDescent="0.4">
      <c r="A85" s="17"/>
      <c r="B85" s="17"/>
      <c r="C85" s="17"/>
      <c r="D85" s="20"/>
      <c r="E85" s="20"/>
      <c r="F85" s="20"/>
      <c r="G85" s="20"/>
      <c r="H85" s="29"/>
      <c r="I85" s="3"/>
      <c r="J85" s="13"/>
      <c r="K85" s="13"/>
      <c r="L85" s="13"/>
      <c r="M85" s="13"/>
      <c r="N85" s="13"/>
      <c r="O85" s="13"/>
      <c r="P85" s="13"/>
      <c r="Q85" s="13"/>
      <c r="R85" s="13"/>
      <c r="T85" s="17"/>
      <c r="U85" s="17"/>
      <c r="V85" s="17"/>
      <c r="W85" s="17"/>
      <c r="AC85" s="17"/>
      <c r="AD85" s="17"/>
      <c r="AE85" s="17"/>
      <c r="AF85" s="27"/>
      <c r="AG85" s="27"/>
      <c r="AH85" s="28"/>
      <c r="AI85" s="28"/>
      <c r="AJ85" s="28"/>
      <c r="AK85" s="29"/>
      <c r="AL85" s="3"/>
      <c r="AM85" s="13"/>
      <c r="AN85" s="13"/>
      <c r="AO85" s="13"/>
      <c r="AP85" s="17"/>
      <c r="AQ85" s="17"/>
      <c r="AR85" s="17"/>
      <c r="BD85" s="17"/>
      <c r="BE85" s="17"/>
      <c r="BF85" s="17"/>
      <c r="BG85" s="27"/>
      <c r="BH85" s="28"/>
      <c r="BI85" s="17"/>
      <c r="BJ85" s="17"/>
      <c r="BK85" s="17"/>
      <c r="BP85" s="13"/>
      <c r="BQ85" s="13"/>
      <c r="BR85" s="13"/>
      <c r="BS85" s="13"/>
      <c r="BT85" s="13"/>
      <c r="BU85" s="13"/>
      <c r="CD85" s="17"/>
      <c r="CE85" s="17"/>
      <c r="CF85" s="17"/>
      <c r="CG85" s="27"/>
      <c r="CH85" s="28"/>
      <c r="CI85" s="28"/>
      <c r="CJ85" s="28"/>
      <c r="CK85" s="29"/>
      <c r="CL85" s="3"/>
      <c r="CM85" s="13"/>
      <c r="CN85" s="13"/>
      <c r="CO85" s="13"/>
      <c r="CP85" s="13"/>
      <c r="CQ85" s="13"/>
      <c r="CR85" s="13"/>
      <c r="CS85" s="13"/>
      <c r="CT85" s="13"/>
      <c r="CU85" s="13"/>
    </row>
    <row r="86" spans="1:99" x14ac:dyDescent="0.4">
      <c r="A86" s="17"/>
      <c r="B86" s="17"/>
      <c r="C86" s="17"/>
      <c r="D86" s="20"/>
      <c r="E86" s="20"/>
      <c r="F86" s="20"/>
      <c r="G86" s="20"/>
      <c r="H86" s="29"/>
      <c r="I86" s="3"/>
      <c r="J86" s="13"/>
      <c r="K86" s="13"/>
      <c r="L86" s="13"/>
      <c r="M86" s="13"/>
      <c r="N86" s="13"/>
      <c r="O86" s="13"/>
      <c r="P86" s="13"/>
      <c r="Q86" s="13"/>
      <c r="R86" s="13"/>
      <c r="T86" s="17"/>
      <c r="U86" s="17"/>
      <c r="V86" s="17"/>
      <c r="W86" s="17"/>
      <c r="AC86" s="17"/>
      <c r="AD86" s="17"/>
      <c r="AE86" s="17"/>
      <c r="AF86" s="27"/>
      <c r="AG86" s="27"/>
      <c r="AH86" s="28"/>
      <c r="AI86" s="28"/>
      <c r="AJ86" s="28"/>
      <c r="AK86" s="29"/>
      <c r="AL86" s="3"/>
      <c r="AM86" s="13"/>
      <c r="AN86" s="13"/>
      <c r="AO86" s="13"/>
      <c r="AP86" s="17"/>
      <c r="AQ86" s="17"/>
      <c r="AR86" s="17"/>
      <c r="BD86" s="17"/>
      <c r="BE86" s="17"/>
      <c r="BF86" s="17"/>
      <c r="BG86" s="27"/>
      <c r="BH86" s="28"/>
      <c r="BI86" s="17"/>
      <c r="BJ86" s="17"/>
      <c r="BK86" s="17"/>
      <c r="BP86" s="13"/>
      <c r="BQ86" s="13"/>
      <c r="BR86" s="13"/>
      <c r="BS86" s="13"/>
      <c r="BT86" s="13"/>
      <c r="BU86" s="13"/>
      <c r="CD86" s="17"/>
      <c r="CE86" s="17"/>
      <c r="CF86" s="17"/>
      <c r="CG86" s="27"/>
      <c r="CH86" s="28"/>
      <c r="CI86" s="28"/>
      <c r="CJ86" s="28"/>
      <c r="CK86" s="29"/>
      <c r="CL86" s="3"/>
      <c r="CM86" s="13"/>
      <c r="CN86" s="13"/>
      <c r="CO86" s="13"/>
      <c r="CP86" s="13"/>
      <c r="CQ86" s="13"/>
      <c r="CR86" s="13"/>
      <c r="CS86" s="13"/>
      <c r="CT86" s="13"/>
      <c r="CU86" s="13"/>
    </row>
    <row r="87" spans="1:99" x14ac:dyDescent="0.4">
      <c r="A87" s="17"/>
      <c r="B87" s="17"/>
      <c r="C87" s="17"/>
      <c r="D87" s="20"/>
      <c r="E87" s="20"/>
      <c r="F87" s="20"/>
      <c r="G87" s="20"/>
      <c r="H87" s="29"/>
      <c r="I87" s="3"/>
      <c r="J87" s="13"/>
      <c r="K87" s="13"/>
      <c r="L87" s="13"/>
      <c r="M87" s="13"/>
      <c r="N87" s="13"/>
      <c r="O87" s="13"/>
      <c r="P87" s="13"/>
      <c r="Q87" s="13"/>
      <c r="R87" s="13"/>
      <c r="T87" s="17"/>
      <c r="U87" s="17"/>
      <c r="V87" s="17"/>
      <c r="W87" s="17"/>
      <c r="AC87" s="17"/>
      <c r="AD87" s="17"/>
      <c r="AE87" s="17"/>
      <c r="AF87" s="27"/>
      <c r="AG87" s="27"/>
      <c r="AH87" s="28"/>
      <c r="AI87" s="28"/>
      <c r="AJ87" s="28"/>
      <c r="AK87" s="29"/>
      <c r="AL87" s="3"/>
      <c r="AM87" s="13"/>
      <c r="AN87" s="13"/>
      <c r="AO87" s="13"/>
      <c r="AP87" s="17"/>
      <c r="AQ87" s="17"/>
      <c r="AR87" s="17"/>
      <c r="BD87" s="17"/>
      <c r="BE87" s="17"/>
      <c r="BF87" s="17"/>
      <c r="BG87" s="27"/>
      <c r="BH87" s="28"/>
      <c r="BI87" s="17"/>
      <c r="BJ87" s="17"/>
      <c r="BK87" s="17"/>
      <c r="BP87" s="13"/>
      <c r="BQ87" s="13"/>
      <c r="BR87" s="13"/>
      <c r="BS87" s="13"/>
      <c r="BT87" s="13"/>
      <c r="BU87" s="13"/>
      <c r="CD87" s="17"/>
      <c r="CE87" s="17"/>
      <c r="CF87" s="17"/>
      <c r="CG87" s="27"/>
      <c r="CH87" s="28"/>
      <c r="CI87" s="28"/>
      <c r="CJ87" s="28"/>
      <c r="CK87" s="29"/>
      <c r="CL87" s="3"/>
      <c r="CM87" s="13"/>
      <c r="CN87" s="13"/>
      <c r="CO87" s="13"/>
      <c r="CP87" s="13"/>
      <c r="CQ87" s="13"/>
      <c r="CR87" s="13"/>
      <c r="CS87" s="13"/>
      <c r="CT87" s="13"/>
      <c r="CU87" s="13"/>
    </row>
    <row r="88" spans="1:99" x14ac:dyDescent="0.4">
      <c r="A88" s="17"/>
      <c r="B88" s="17"/>
      <c r="C88" s="17"/>
      <c r="D88" s="20"/>
      <c r="E88" s="20"/>
      <c r="F88" s="20"/>
      <c r="G88" s="20"/>
      <c r="H88" s="29"/>
      <c r="I88" s="3"/>
      <c r="J88" s="13"/>
      <c r="K88" s="13"/>
      <c r="L88" s="13"/>
      <c r="M88" s="13"/>
      <c r="N88" s="13"/>
      <c r="O88" s="13"/>
      <c r="P88" s="13"/>
      <c r="Q88" s="13"/>
      <c r="R88" s="13"/>
      <c r="T88" s="17"/>
      <c r="U88" s="17"/>
      <c r="V88" s="17"/>
      <c r="W88" s="17"/>
      <c r="AC88" s="17"/>
      <c r="AD88" s="17"/>
      <c r="AE88" s="17"/>
      <c r="AF88" s="27"/>
      <c r="AG88" s="27"/>
      <c r="AH88" s="28"/>
      <c r="AI88" s="28"/>
      <c r="AJ88" s="28"/>
      <c r="AK88" s="29"/>
      <c r="AL88" s="3"/>
      <c r="AM88" s="13"/>
      <c r="AN88" s="13"/>
      <c r="AO88" s="13"/>
      <c r="AP88" s="17"/>
      <c r="AQ88" s="17"/>
      <c r="AR88" s="17"/>
      <c r="BD88" s="17"/>
      <c r="BE88" s="17"/>
      <c r="BF88" s="17"/>
      <c r="BG88" s="27"/>
      <c r="BH88" s="28"/>
      <c r="BI88" s="17"/>
      <c r="BJ88" s="17"/>
      <c r="BK88" s="17"/>
      <c r="BP88" s="13"/>
      <c r="BQ88" s="13"/>
      <c r="BR88" s="13"/>
      <c r="BS88" s="13"/>
      <c r="BT88" s="13"/>
      <c r="BU88" s="13"/>
      <c r="CD88" s="17"/>
      <c r="CE88" s="17"/>
      <c r="CF88" s="17"/>
      <c r="CG88" s="27"/>
      <c r="CH88" s="28"/>
      <c r="CI88" s="28"/>
      <c r="CJ88" s="28"/>
      <c r="CK88" s="29"/>
      <c r="CL88" s="3"/>
      <c r="CM88" s="13"/>
      <c r="CN88" s="13"/>
      <c r="CO88" s="13"/>
      <c r="CP88" s="13"/>
      <c r="CQ88" s="13"/>
      <c r="CR88" s="13"/>
      <c r="CS88" s="13"/>
      <c r="CT88" s="13"/>
      <c r="CU88" s="13"/>
    </row>
    <row r="89" spans="1:99" x14ac:dyDescent="0.4">
      <c r="A89" s="17"/>
      <c r="B89" s="17"/>
      <c r="C89" s="17"/>
      <c r="D89" s="20"/>
      <c r="E89" s="20"/>
      <c r="F89" s="20"/>
      <c r="G89" s="20"/>
      <c r="H89" s="29"/>
      <c r="I89" s="3"/>
      <c r="J89" s="13"/>
      <c r="K89" s="13"/>
      <c r="L89" s="13"/>
      <c r="M89" s="13"/>
      <c r="N89" s="13"/>
      <c r="O89" s="13"/>
      <c r="P89" s="13"/>
      <c r="Q89" s="13"/>
      <c r="R89" s="13"/>
      <c r="T89" s="17"/>
      <c r="U89" s="17"/>
      <c r="V89" s="17"/>
      <c r="W89" s="17"/>
      <c r="AC89" s="17"/>
      <c r="AD89" s="17"/>
      <c r="AE89" s="17"/>
      <c r="AF89" s="27"/>
      <c r="AG89" s="27"/>
      <c r="AH89" s="28"/>
      <c r="AI89" s="28"/>
      <c r="AJ89" s="28"/>
      <c r="AK89" s="29"/>
      <c r="AL89" s="3"/>
      <c r="AM89" s="13"/>
      <c r="AN89" s="13"/>
      <c r="AO89" s="13"/>
      <c r="AP89" s="17"/>
      <c r="AQ89" s="17"/>
      <c r="AR89" s="17"/>
      <c r="BD89" s="17"/>
      <c r="BE89" s="17"/>
      <c r="BF89" s="17"/>
      <c r="BG89" s="27"/>
      <c r="BH89" s="28"/>
      <c r="BI89" s="17"/>
      <c r="BJ89" s="17"/>
      <c r="BK89" s="17"/>
      <c r="BP89" s="13"/>
      <c r="BQ89" s="13"/>
      <c r="BR89" s="13"/>
      <c r="BS89" s="13"/>
      <c r="BT89" s="13"/>
      <c r="BU89" s="13"/>
      <c r="CD89" s="17"/>
      <c r="CE89" s="17"/>
      <c r="CF89" s="17"/>
      <c r="CG89" s="27"/>
      <c r="CH89" s="28"/>
      <c r="CI89" s="28"/>
      <c r="CJ89" s="28"/>
      <c r="CK89" s="29"/>
      <c r="CL89" s="3"/>
      <c r="CM89" s="13"/>
      <c r="CN89" s="13"/>
      <c r="CO89" s="13"/>
      <c r="CP89" s="13"/>
      <c r="CQ89" s="13"/>
      <c r="CR89" s="13"/>
      <c r="CS89" s="13"/>
      <c r="CT89" s="13"/>
      <c r="CU89" s="13"/>
    </row>
    <row r="90" spans="1:99" x14ac:dyDescent="0.4">
      <c r="A90" s="17"/>
      <c r="B90" s="17"/>
      <c r="C90" s="17"/>
      <c r="D90" s="20"/>
      <c r="E90" s="20"/>
      <c r="F90" s="20"/>
      <c r="G90" s="20"/>
      <c r="H90" s="29"/>
      <c r="I90" s="3"/>
      <c r="J90" s="13"/>
      <c r="K90" s="13"/>
      <c r="L90" s="13"/>
      <c r="M90" s="13"/>
      <c r="N90" s="13"/>
      <c r="O90" s="13"/>
      <c r="P90" s="13"/>
      <c r="Q90" s="13"/>
      <c r="R90" s="13"/>
      <c r="T90" s="17"/>
      <c r="U90" s="17"/>
      <c r="V90" s="17"/>
      <c r="W90" s="17"/>
      <c r="AC90" s="17"/>
      <c r="AD90" s="17"/>
      <c r="AE90" s="17"/>
      <c r="AF90" s="27"/>
      <c r="AG90" s="27"/>
      <c r="AH90" s="28"/>
      <c r="AI90" s="28"/>
      <c r="AJ90" s="28"/>
      <c r="AK90" s="29"/>
      <c r="AL90" s="3"/>
      <c r="AM90" s="13"/>
      <c r="AN90" s="13"/>
      <c r="AO90" s="13"/>
      <c r="AP90" s="17"/>
      <c r="AQ90" s="17"/>
      <c r="AR90" s="17"/>
      <c r="BD90" s="17"/>
      <c r="BE90" s="17"/>
      <c r="BF90" s="17"/>
      <c r="BG90" s="27"/>
      <c r="BH90" s="28"/>
      <c r="BI90" s="17"/>
      <c r="BJ90" s="17"/>
      <c r="BK90" s="17"/>
      <c r="BP90" s="13"/>
      <c r="BQ90" s="13"/>
      <c r="BR90" s="13"/>
      <c r="BS90" s="13"/>
      <c r="BT90" s="13"/>
      <c r="BU90" s="13"/>
      <c r="CD90" s="17"/>
      <c r="CE90" s="17"/>
      <c r="CF90" s="17"/>
      <c r="CG90" s="27"/>
      <c r="CH90" s="28"/>
      <c r="CI90" s="28"/>
      <c r="CJ90" s="28"/>
      <c r="CK90" s="29"/>
      <c r="CL90" s="3"/>
      <c r="CM90" s="13"/>
      <c r="CN90" s="13"/>
      <c r="CO90" s="13"/>
      <c r="CP90" s="13"/>
      <c r="CQ90" s="13"/>
      <c r="CR90" s="13"/>
      <c r="CS90" s="13"/>
      <c r="CT90" s="13"/>
      <c r="CU90" s="13"/>
    </row>
    <row r="91" spans="1:99" x14ac:dyDescent="0.4">
      <c r="A91" s="17"/>
      <c r="B91" s="17"/>
      <c r="C91" s="17"/>
      <c r="D91" s="20"/>
      <c r="E91" s="20"/>
      <c r="F91" s="20"/>
      <c r="G91" s="20"/>
      <c r="H91" s="29"/>
      <c r="I91" s="3"/>
      <c r="J91" s="13"/>
      <c r="K91" s="13"/>
      <c r="L91" s="13"/>
      <c r="M91" s="13"/>
      <c r="N91" s="13"/>
      <c r="O91" s="13"/>
      <c r="P91" s="13"/>
      <c r="Q91" s="13"/>
      <c r="R91" s="13"/>
      <c r="T91" s="17"/>
      <c r="U91" s="17"/>
      <c r="V91" s="17"/>
      <c r="W91" s="17"/>
      <c r="AC91" s="17"/>
      <c r="AD91" s="17"/>
      <c r="AE91" s="17"/>
      <c r="AF91" s="27"/>
      <c r="AG91" s="27"/>
      <c r="AH91" s="28"/>
      <c r="AI91" s="28"/>
      <c r="AJ91" s="28"/>
      <c r="AK91" s="29"/>
      <c r="AL91" s="3"/>
      <c r="AM91" s="13"/>
      <c r="AN91" s="13"/>
      <c r="AO91" s="13"/>
      <c r="AP91" s="17"/>
      <c r="AQ91" s="17"/>
      <c r="AR91" s="17"/>
      <c r="BD91" s="17"/>
      <c r="BE91" s="17"/>
      <c r="BF91" s="17"/>
      <c r="BG91" s="27"/>
      <c r="BH91" s="28"/>
      <c r="BI91" s="17"/>
      <c r="BJ91" s="17"/>
      <c r="BK91" s="17"/>
      <c r="BP91" s="13"/>
      <c r="BQ91" s="13"/>
      <c r="BR91" s="13"/>
      <c r="BS91" s="13"/>
      <c r="BT91" s="13"/>
      <c r="BU91" s="13"/>
      <c r="CD91" s="17"/>
      <c r="CE91" s="17"/>
      <c r="CF91" s="17"/>
      <c r="CG91" s="27"/>
      <c r="CH91" s="28"/>
      <c r="CI91" s="28"/>
      <c r="CJ91" s="28"/>
      <c r="CK91" s="29"/>
      <c r="CL91" s="3"/>
      <c r="CM91" s="13"/>
      <c r="CN91" s="13"/>
      <c r="CO91" s="13"/>
      <c r="CP91" s="13"/>
      <c r="CQ91" s="13"/>
      <c r="CR91" s="13"/>
      <c r="CS91" s="13"/>
      <c r="CT91" s="13"/>
      <c r="CU91" s="13"/>
    </row>
    <row r="92" spans="1:99" x14ac:dyDescent="0.4">
      <c r="A92" s="17"/>
      <c r="B92" s="17"/>
      <c r="C92" s="17"/>
      <c r="D92" s="20"/>
      <c r="E92" s="20"/>
      <c r="F92" s="20"/>
      <c r="G92" s="20"/>
      <c r="H92" s="29"/>
      <c r="I92" s="3"/>
      <c r="J92" s="13"/>
      <c r="K92" s="13"/>
      <c r="L92" s="13"/>
      <c r="M92" s="13"/>
      <c r="N92" s="13"/>
      <c r="O92" s="13"/>
      <c r="P92" s="13"/>
      <c r="Q92" s="13"/>
      <c r="R92" s="13"/>
      <c r="T92" s="17"/>
      <c r="U92" s="17"/>
      <c r="V92" s="17"/>
      <c r="W92" s="17"/>
      <c r="AC92" s="17"/>
      <c r="AD92" s="17"/>
      <c r="AE92" s="17"/>
      <c r="AF92" s="27"/>
      <c r="AG92" s="27"/>
      <c r="AH92" s="28"/>
      <c r="AI92" s="28"/>
      <c r="AJ92" s="28"/>
      <c r="AK92" s="29"/>
      <c r="AL92" s="3"/>
      <c r="AM92" s="13"/>
      <c r="AN92" s="13"/>
      <c r="AO92" s="13"/>
      <c r="AP92" s="17"/>
      <c r="AQ92" s="17"/>
      <c r="AR92" s="17"/>
      <c r="BD92" s="17"/>
      <c r="BE92" s="17"/>
      <c r="BF92" s="17"/>
      <c r="BG92" s="27"/>
      <c r="BH92" s="28"/>
      <c r="BI92" s="17"/>
      <c r="BJ92" s="17"/>
      <c r="BK92" s="17"/>
      <c r="BP92" s="13"/>
      <c r="BQ92" s="13"/>
      <c r="BR92" s="13"/>
      <c r="BS92" s="13"/>
      <c r="BT92" s="13"/>
      <c r="BU92" s="13"/>
      <c r="CD92" s="17"/>
      <c r="CE92" s="17"/>
      <c r="CF92" s="17"/>
      <c r="CG92" s="27"/>
      <c r="CH92" s="28"/>
      <c r="CI92" s="28"/>
      <c r="CJ92" s="28"/>
      <c r="CK92" s="29"/>
      <c r="CL92" s="3"/>
      <c r="CM92" s="13"/>
      <c r="CN92" s="13"/>
      <c r="CO92" s="13"/>
      <c r="CP92" s="13"/>
      <c r="CQ92" s="13"/>
      <c r="CR92" s="13"/>
      <c r="CS92" s="13"/>
      <c r="CT92" s="13"/>
      <c r="CU92" s="13"/>
    </row>
    <row r="93" spans="1:99" x14ac:dyDescent="0.4">
      <c r="A93" s="17"/>
      <c r="B93" s="17"/>
      <c r="C93" s="17"/>
      <c r="D93" s="20"/>
      <c r="E93" s="20"/>
      <c r="F93" s="20"/>
      <c r="G93" s="20"/>
      <c r="H93" s="29"/>
      <c r="I93" s="3"/>
      <c r="J93" s="13"/>
      <c r="K93" s="13"/>
      <c r="L93" s="13"/>
      <c r="M93" s="13"/>
      <c r="N93" s="13"/>
      <c r="O93" s="13"/>
      <c r="P93" s="13"/>
      <c r="Q93" s="13"/>
      <c r="R93" s="13"/>
      <c r="T93" s="17"/>
      <c r="U93" s="17"/>
      <c r="V93" s="17"/>
      <c r="W93" s="17"/>
      <c r="AC93" s="17"/>
      <c r="AD93" s="17"/>
      <c r="AE93" s="17"/>
      <c r="AF93" s="27"/>
      <c r="AG93" s="27"/>
      <c r="AH93" s="28"/>
      <c r="AI93" s="28"/>
      <c r="AJ93" s="28"/>
      <c r="AK93" s="29"/>
      <c r="AL93" s="3"/>
      <c r="AM93" s="13"/>
      <c r="AN93" s="13"/>
      <c r="AO93" s="13"/>
      <c r="AP93" s="17"/>
      <c r="AQ93" s="17"/>
      <c r="AR93" s="17"/>
      <c r="BD93" s="17"/>
      <c r="BE93" s="17"/>
      <c r="BF93" s="17"/>
      <c r="BG93" s="27"/>
      <c r="BH93" s="28"/>
      <c r="BI93" s="17"/>
      <c r="BJ93" s="17"/>
      <c r="BK93" s="17"/>
      <c r="BP93" s="13"/>
      <c r="BQ93" s="13"/>
      <c r="BR93" s="13"/>
      <c r="BS93" s="13"/>
      <c r="BT93" s="13"/>
      <c r="BU93" s="13"/>
      <c r="CD93" s="17"/>
      <c r="CE93" s="17"/>
      <c r="CF93" s="17"/>
      <c r="CG93" s="27"/>
      <c r="CH93" s="28"/>
      <c r="CI93" s="28"/>
      <c r="CJ93" s="28"/>
      <c r="CK93" s="29"/>
      <c r="CL93" s="3"/>
      <c r="CM93" s="13"/>
      <c r="CN93" s="13"/>
      <c r="CO93" s="13"/>
      <c r="CP93" s="13"/>
      <c r="CQ93" s="13"/>
      <c r="CR93" s="13"/>
      <c r="CS93" s="13"/>
      <c r="CT93" s="13"/>
      <c r="CU93" s="13"/>
    </row>
    <row r="94" spans="1:99" x14ac:dyDescent="0.4">
      <c r="A94" s="17"/>
      <c r="B94" s="17"/>
      <c r="C94" s="17"/>
      <c r="D94" s="20"/>
      <c r="E94" s="20"/>
      <c r="F94" s="20"/>
      <c r="G94" s="20"/>
      <c r="H94" s="29"/>
      <c r="I94" s="3"/>
      <c r="J94" s="13"/>
      <c r="K94" s="13"/>
      <c r="L94" s="13"/>
      <c r="M94" s="13"/>
      <c r="N94" s="13"/>
      <c r="O94" s="13"/>
      <c r="P94" s="13"/>
      <c r="Q94" s="13"/>
      <c r="R94" s="13"/>
      <c r="T94" s="17"/>
      <c r="U94" s="17"/>
      <c r="V94" s="17"/>
      <c r="W94" s="17"/>
      <c r="AC94" s="17"/>
      <c r="AD94" s="17"/>
      <c r="AE94" s="17"/>
      <c r="AF94" s="27"/>
      <c r="AG94" s="27"/>
      <c r="AH94" s="28"/>
      <c r="AI94" s="28"/>
      <c r="AJ94" s="28"/>
      <c r="AK94" s="29"/>
      <c r="AL94" s="3"/>
      <c r="AM94" s="13"/>
      <c r="AN94" s="13"/>
      <c r="AO94" s="13"/>
      <c r="AP94" s="17"/>
      <c r="AQ94" s="17"/>
      <c r="AR94" s="17"/>
      <c r="BD94" s="17"/>
      <c r="BE94" s="17"/>
      <c r="BF94" s="17"/>
      <c r="BG94" s="27"/>
      <c r="BH94" s="28"/>
      <c r="BI94" s="17"/>
      <c r="BJ94" s="17"/>
      <c r="BK94" s="17"/>
      <c r="BP94" s="13"/>
      <c r="BQ94" s="13"/>
      <c r="BR94" s="13"/>
      <c r="BS94" s="13"/>
      <c r="BT94" s="13"/>
      <c r="BU94" s="13"/>
      <c r="CD94" s="17"/>
      <c r="CE94" s="17"/>
      <c r="CF94" s="17"/>
      <c r="CG94" s="27"/>
      <c r="CH94" s="28"/>
      <c r="CI94" s="28"/>
      <c r="CJ94" s="28"/>
      <c r="CK94" s="29"/>
      <c r="CL94" s="3"/>
      <c r="CM94" s="13"/>
      <c r="CN94" s="13"/>
      <c r="CO94" s="13"/>
      <c r="CP94" s="13"/>
      <c r="CQ94" s="13"/>
      <c r="CR94" s="13"/>
      <c r="CS94" s="13"/>
      <c r="CT94" s="13"/>
      <c r="CU94" s="13"/>
    </row>
    <row r="95" spans="1:99" x14ac:dyDescent="0.4">
      <c r="A95" s="17"/>
      <c r="B95" s="17"/>
      <c r="C95" s="17"/>
      <c r="D95" s="20"/>
      <c r="E95" s="20"/>
      <c r="F95" s="20"/>
      <c r="G95" s="20"/>
      <c r="H95" s="29"/>
      <c r="I95" s="3"/>
      <c r="J95" s="13"/>
      <c r="K95" s="13"/>
      <c r="L95" s="13"/>
      <c r="M95" s="13"/>
      <c r="N95" s="13"/>
      <c r="O95" s="13"/>
      <c r="P95" s="13"/>
      <c r="Q95" s="13"/>
      <c r="R95" s="13"/>
      <c r="T95" s="17"/>
      <c r="U95" s="17"/>
      <c r="V95" s="17"/>
      <c r="W95" s="17"/>
      <c r="AC95" s="17"/>
      <c r="AD95" s="17"/>
      <c r="AE95" s="17"/>
      <c r="AF95" s="27"/>
      <c r="AG95" s="27"/>
      <c r="AH95" s="28"/>
      <c r="AI95" s="28"/>
      <c r="AJ95" s="28"/>
      <c r="AK95" s="29"/>
      <c r="AL95" s="3"/>
      <c r="AM95" s="13"/>
      <c r="AN95" s="13"/>
      <c r="AO95" s="13"/>
      <c r="AP95" s="17"/>
      <c r="AQ95" s="17"/>
      <c r="AR95" s="17"/>
      <c r="BD95" s="17"/>
      <c r="BE95" s="17"/>
      <c r="BF95" s="17"/>
      <c r="BG95" s="27"/>
      <c r="BH95" s="28"/>
      <c r="BI95" s="17"/>
      <c r="BJ95" s="17"/>
      <c r="BK95" s="17"/>
      <c r="BP95" s="13"/>
      <c r="BQ95" s="13"/>
      <c r="BR95" s="13"/>
      <c r="BS95" s="13"/>
      <c r="BT95" s="13"/>
      <c r="BU95" s="13"/>
      <c r="CD95" s="17"/>
      <c r="CE95" s="17"/>
      <c r="CF95" s="17"/>
      <c r="CG95" s="27"/>
      <c r="CH95" s="28"/>
      <c r="CI95" s="28"/>
      <c r="CJ95" s="28"/>
      <c r="CK95" s="29"/>
      <c r="CL95" s="3"/>
      <c r="CM95" s="13"/>
      <c r="CN95" s="13"/>
      <c r="CO95" s="13"/>
      <c r="CP95" s="13"/>
      <c r="CQ95" s="13"/>
      <c r="CR95" s="13"/>
      <c r="CS95" s="13"/>
      <c r="CT95" s="13"/>
      <c r="CU95" s="13"/>
    </row>
    <row r="96" spans="1:99" x14ac:dyDescent="0.4">
      <c r="A96" s="17"/>
      <c r="B96" s="17"/>
      <c r="C96" s="17"/>
      <c r="D96" s="20"/>
      <c r="E96" s="20"/>
      <c r="F96" s="20"/>
      <c r="G96" s="20"/>
      <c r="H96" s="29"/>
      <c r="I96" s="3"/>
      <c r="J96" s="13"/>
      <c r="K96" s="13"/>
      <c r="L96" s="13"/>
      <c r="M96" s="13"/>
      <c r="N96" s="13"/>
      <c r="O96" s="13"/>
      <c r="P96" s="13"/>
      <c r="Q96" s="13"/>
      <c r="R96" s="13"/>
      <c r="T96" s="17"/>
      <c r="U96" s="17"/>
      <c r="V96" s="17"/>
      <c r="W96" s="17"/>
      <c r="AC96" s="17"/>
      <c r="AD96" s="17"/>
      <c r="AE96" s="17"/>
      <c r="AF96" s="27"/>
      <c r="AG96" s="27"/>
      <c r="AH96" s="28"/>
      <c r="AI96" s="28"/>
      <c r="AJ96" s="28"/>
      <c r="AK96" s="29"/>
      <c r="AL96" s="3"/>
      <c r="AM96" s="13"/>
      <c r="AN96" s="13"/>
      <c r="AO96" s="13"/>
      <c r="AP96" s="17"/>
      <c r="AQ96" s="17"/>
      <c r="AR96" s="17"/>
      <c r="BD96" s="17"/>
      <c r="BE96" s="17"/>
      <c r="BF96" s="17"/>
      <c r="BG96" s="27"/>
      <c r="BH96" s="28"/>
      <c r="BI96" s="17"/>
      <c r="BJ96" s="17"/>
      <c r="BK96" s="17"/>
      <c r="BP96" s="13"/>
      <c r="BQ96" s="13"/>
      <c r="BR96" s="13"/>
      <c r="BS96" s="13"/>
      <c r="BT96" s="13"/>
      <c r="BU96" s="13"/>
      <c r="CD96" s="17"/>
      <c r="CE96" s="17"/>
      <c r="CF96" s="17"/>
      <c r="CG96" s="27"/>
      <c r="CH96" s="28"/>
      <c r="CI96" s="28"/>
      <c r="CJ96" s="28"/>
      <c r="CK96" s="29"/>
      <c r="CL96" s="3"/>
      <c r="CM96" s="13"/>
      <c r="CN96" s="13"/>
      <c r="CO96" s="13"/>
      <c r="CP96" s="13"/>
      <c r="CQ96" s="13"/>
      <c r="CR96" s="13"/>
      <c r="CS96" s="13"/>
      <c r="CT96" s="13"/>
      <c r="CU96" s="13"/>
    </row>
    <row r="97" spans="1:99" x14ac:dyDescent="0.4">
      <c r="A97" s="17"/>
      <c r="B97" s="17"/>
      <c r="C97" s="17"/>
      <c r="D97" s="20"/>
      <c r="E97" s="20"/>
      <c r="F97" s="20"/>
      <c r="G97" s="20"/>
      <c r="H97" s="29"/>
      <c r="I97" s="3"/>
      <c r="J97" s="13"/>
      <c r="K97" s="13"/>
      <c r="L97" s="13"/>
      <c r="M97" s="13"/>
      <c r="N97" s="13"/>
      <c r="O97" s="13"/>
      <c r="P97" s="13"/>
      <c r="Q97" s="13"/>
      <c r="R97" s="13"/>
      <c r="T97" s="17"/>
      <c r="U97" s="17"/>
      <c r="V97" s="17"/>
      <c r="W97" s="17"/>
      <c r="AC97" s="17"/>
      <c r="AD97" s="17"/>
      <c r="AE97" s="17"/>
      <c r="AF97" s="27"/>
      <c r="AG97" s="27"/>
      <c r="AH97" s="28"/>
      <c r="AI97" s="28"/>
      <c r="AJ97" s="28"/>
      <c r="AK97" s="29"/>
      <c r="AL97" s="3"/>
      <c r="AM97" s="13"/>
      <c r="AN97" s="13"/>
      <c r="AO97" s="13"/>
      <c r="AP97" s="17"/>
      <c r="AQ97" s="17"/>
      <c r="AR97" s="17"/>
      <c r="BD97" s="17"/>
      <c r="BE97" s="17"/>
      <c r="BF97" s="17"/>
      <c r="BG97" s="27"/>
      <c r="BH97" s="28"/>
      <c r="BI97" s="17"/>
      <c r="BJ97" s="17"/>
      <c r="BK97" s="17"/>
      <c r="BP97" s="13"/>
      <c r="BQ97" s="13"/>
      <c r="BR97" s="13"/>
      <c r="BS97" s="13"/>
      <c r="BT97" s="13"/>
      <c r="BU97" s="13"/>
      <c r="CD97" s="17"/>
      <c r="CE97" s="17"/>
      <c r="CF97" s="17"/>
      <c r="CG97" s="27"/>
      <c r="CH97" s="28"/>
      <c r="CI97" s="28"/>
      <c r="CJ97" s="28"/>
      <c r="CK97" s="29"/>
      <c r="CL97" s="3"/>
      <c r="CM97" s="13"/>
      <c r="CN97" s="13"/>
      <c r="CO97" s="13"/>
      <c r="CP97" s="13"/>
      <c r="CQ97" s="13"/>
      <c r="CR97" s="13"/>
      <c r="CS97" s="13"/>
      <c r="CT97" s="13"/>
      <c r="CU97" s="13"/>
    </row>
    <row r="98" spans="1:99" x14ac:dyDescent="0.4">
      <c r="A98" s="17"/>
      <c r="B98" s="17"/>
      <c r="C98" s="17"/>
      <c r="D98" s="20"/>
      <c r="E98" s="20"/>
      <c r="F98" s="20"/>
      <c r="G98" s="20"/>
      <c r="H98" s="29"/>
      <c r="I98" s="3"/>
      <c r="J98" s="13"/>
      <c r="K98" s="13"/>
      <c r="L98" s="13"/>
      <c r="M98" s="13"/>
      <c r="N98" s="13"/>
      <c r="O98" s="13"/>
      <c r="P98" s="13"/>
      <c r="Q98" s="13"/>
      <c r="R98" s="13"/>
      <c r="T98" s="17"/>
      <c r="U98" s="17"/>
      <c r="V98" s="17"/>
      <c r="W98" s="17"/>
      <c r="AC98" s="17"/>
      <c r="AD98" s="17"/>
      <c r="AE98" s="17"/>
      <c r="AF98" s="27"/>
      <c r="AG98" s="27"/>
      <c r="AH98" s="28"/>
      <c r="AI98" s="28"/>
      <c r="AJ98" s="28"/>
      <c r="AK98" s="29"/>
      <c r="AL98" s="3"/>
      <c r="AM98" s="13"/>
      <c r="AN98" s="13"/>
      <c r="AO98" s="13"/>
      <c r="AP98" s="17"/>
      <c r="AQ98" s="17"/>
      <c r="AR98" s="17"/>
      <c r="BD98" s="17"/>
      <c r="BE98" s="17"/>
      <c r="BF98" s="17"/>
      <c r="BG98" s="27"/>
      <c r="BH98" s="28"/>
      <c r="BI98" s="17"/>
      <c r="BJ98" s="17"/>
      <c r="BK98" s="17"/>
      <c r="BP98" s="13"/>
      <c r="BQ98" s="13"/>
      <c r="BR98" s="13"/>
      <c r="BS98" s="13"/>
      <c r="BT98" s="13"/>
      <c r="BU98" s="13"/>
      <c r="CD98" s="17"/>
      <c r="CE98" s="17"/>
      <c r="CF98" s="17"/>
      <c r="CG98" s="27"/>
      <c r="CH98" s="28"/>
      <c r="CI98" s="28"/>
      <c r="CJ98" s="28"/>
      <c r="CK98" s="29"/>
      <c r="CL98" s="3"/>
      <c r="CM98" s="13"/>
      <c r="CN98" s="13"/>
      <c r="CO98" s="13"/>
      <c r="CP98" s="13"/>
      <c r="CQ98" s="13"/>
      <c r="CR98" s="13"/>
      <c r="CS98" s="13"/>
      <c r="CT98" s="13"/>
      <c r="CU98" s="13"/>
    </row>
    <row r="99" spans="1:99" x14ac:dyDescent="0.4">
      <c r="A99" s="17"/>
      <c r="B99" s="17"/>
      <c r="C99" s="17"/>
      <c r="D99" s="20"/>
      <c r="E99" s="20"/>
      <c r="F99" s="20"/>
      <c r="G99" s="20"/>
      <c r="H99" s="29"/>
      <c r="I99" s="3"/>
      <c r="J99" s="13"/>
      <c r="K99" s="13"/>
      <c r="L99" s="13"/>
      <c r="M99" s="13"/>
      <c r="N99" s="13"/>
      <c r="O99" s="13"/>
      <c r="P99" s="13"/>
      <c r="Q99" s="13"/>
      <c r="R99" s="13"/>
      <c r="T99" s="17"/>
      <c r="U99" s="17"/>
      <c r="V99" s="17"/>
      <c r="W99" s="17"/>
      <c r="AC99" s="17"/>
      <c r="AD99" s="17"/>
      <c r="AE99" s="17"/>
      <c r="AF99" s="27"/>
      <c r="AG99" s="27"/>
      <c r="AH99" s="28"/>
      <c r="AI99" s="28"/>
      <c r="AJ99" s="28"/>
      <c r="AK99" s="29"/>
      <c r="AL99" s="3"/>
      <c r="AM99" s="13"/>
      <c r="AN99" s="13"/>
      <c r="AO99" s="13"/>
      <c r="AP99" s="17"/>
      <c r="AQ99" s="17"/>
      <c r="AR99" s="17"/>
      <c r="BD99" s="17"/>
      <c r="BE99" s="17"/>
      <c r="BF99" s="17"/>
      <c r="BG99" s="27"/>
      <c r="BH99" s="28"/>
      <c r="BI99" s="17"/>
      <c r="BJ99" s="17"/>
      <c r="BK99" s="17"/>
      <c r="BP99" s="13"/>
      <c r="BQ99" s="13"/>
      <c r="BR99" s="13"/>
      <c r="BS99" s="13"/>
      <c r="BT99" s="13"/>
      <c r="BU99" s="13"/>
      <c r="CD99" s="17"/>
      <c r="CE99" s="17"/>
      <c r="CF99" s="17"/>
      <c r="CG99" s="27"/>
      <c r="CH99" s="28"/>
      <c r="CI99" s="28"/>
      <c r="CJ99" s="28"/>
      <c r="CK99" s="29"/>
      <c r="CL99" s="3"/>
      <c r="CM99" s="13"/>
      <c r="CN99" s="13"/>
      <c r="CO99" s="13"/>
      <c r="CP99" s="13"/>
      <c r="CQ99" s="13"/>
      <c r="CR99" s="13"/>
      <c r="CS99" s="13"/>
      <c r="CT99" s="13"/>
      <c r="CU99" s="13"/>
    </row>
    <row r="100" spans="1:99" x14ac:dyDescent="0.4">
      <c r="A100" s="17"/>
      <c r="B100" s="17"/>
      <c r="C100" s="17"/>
      <c r="D100" s="20"/>
      <c r="E100" s="20"/>
      <c r="F100" s="20"/>
      <c r="G100" s="20"/>
      <c r="H100" s="29"/>
      <c r="I100" s="3"/>
      <c r="J100" s="13"/>
      <c r="K100" s="13"/>
      <c r="L100" s="13"/>
      <c r="M100" s="13"/>
      <c r="N100" s="13"/>
      <c r="O100" s="13"/>
      <c r="P100" s="13"/>
      <c r="Q100" s="13"/>
      <c r="R100" s="13"/>
      <c r="T100" s="17"/>
      <c r="U100" s="17"/>
      <c r="V100" s="17"/>
      <c r="W100" s="17"/>
      <c r="AC100" s="17"/>
      <c r="AD100" s="17"/>
      <c r="AE100" s="17"/>
      <c r="AF100" s="27"/>
      <c r="AG100" s="27"/>
      <c r="AH100" s="28"/>
      <c r="AI100" s="28"/>
      <c r="AJ100" s="28"/>
      <c r="AK100" s="29"/>
      <c r="AL100" s="3"/>
      <c r="AM100" s="13"/>
      <c r="AN100" s="13"/>
      <c r="AO100" s="13"/>
      <c r="AP100" s="17"/>
      <c r="AQ100" s="17"/>
      <c r="AR100" s="17"/>
      <c r="BD100" s="17"/>
      <c r="BE100" s="17"/>
      <c r="BF100" s="17"/>
      <c r="BG100" s="27"/>
      <c r="BH100" s="28"/>
      <c r="BI100" s="17"/>
      <c r="BJ100" s="17"/>
      <c r="BK100" s="17"/>
      <c r="BP100" s="13"/>
      <c r="BQ100" s="13"/>
      <c r="BR100" s="13"/>
      <c r="BS100" s="13"/>
      <c r="BT100" s="13"/>
      <c r="BU100" s="13"/>
      <c r="CD100" s="17"/>
      <c r="CE100" s="17"/>
      <c r="CF100" s="17"/>
      <c r="CG100" s="27"/>
      <c r="CH100" s="28"/>
      <c r="CI100" s="28"/>
      <c r="CJ100" s="28"/>
      <c r="CK100" s="29"/>
      <c r="CL100" s="3"/>
      <c r="CM100" s="13"/>
      <c r="CN100" s="13"/>
      <c r="CO100" s="13"/>
      <c r="CP100" s="13"/>
      <c r="CQ100" s="13"/>
      <c r="CR100" s="13"/>
      <c r="CS100" s="13"/>
      <c r="CT100" s="13"/>
      <c r="CU100" s="13"/>
    </row>
    <row r="101" spans="1:99" x14ac:dyDescent="0.4">
      <c r="A101" s="17"/>
      <c r="B101" s="17"/>
      <c r="C101" s="17"/>
      <c r="D101" s="20"/>
      <c r="E101" s="20"/>
      <c r="F101" s="20"/>
      <c r="G101" s="20"/>
      <c r="H101" s="29"/>
      <c r="I101" s="3"/>
      <c r="J101" s="13"/>
      <c r="K101" s="13"/>
      <c r="L101" s="13"/>
      <c r="M101" s="13"/>
      <c r="N101" s="13"/>
      <c r="O101" s="13"/>
      <c r="P101" s="13"/>
      <c r="Q101" s="13"/>
      <c r="R101" s="13"/>
      <c r="T101" s="17"/>
      <c r="U101" s="17"/>
      <c r="V101" s="17"/>
      <c r="W101" s="17"/>
      <c r="AC101" s="17"/>
      <c r="AD101" s="17"/>
      <c r="AE101" s="17"/>
      <c r="AF101" s="27"/>
      <c r="AG101" s="27"/>
      <c r="AH101" s="28"/>
      <c r="AI101" s="28"/>
      <c r="AJ101" s="28"/>
      <c r="AK101" s="29"/>
      <c r="AL101" s="3"/>
      <c r="AM101" s="13"/>
      <c r="AN101" s="13"/>
      <c r="AO101" s="13"/>
      <c r="AP101" s="17"/>
      <c r="AQ101" s="17"/>
      <c r="AR101" s="17"/>
      <c r="BD101" s="17"/>
      <c r="BE101" s="17"/>
      <c r="BF101" s="17"/>
      <c r="BG101" s="27"/>
      <c r="BH101" s="28"/>
      <c r="BI101" s="17"/>
      <c r="BJ101" s="17"/>
      <c r="BK101" s="17"/>
      <c r="BP101" s="13"/>
      <c r="BQ101" s="13"/>
      <c r="BR101" s="13"/>
      <c r="BS101" s="13"/>
      <c r="BT101" s="13"/>
      <c r="BU101" s="13"/>
      <c r="CD101" s="17"/>
      <c r="CE101" s="17"/>
      <c r="CF101" s="17"/>
      <c r="CG101" s="27"/>
      <c r="CH101" s="28"/>
      <c r="CI101" s="28"/>
      <c r="CJ101" s="28"/>
      <c r="CK101" s="29"/>
      <c r="CL101" s="3"/>
      <c r="CM101" s="13"/>
      <c r="CN101" s="13"/>
      <c r="CO101" s="13"/>
      <c r="CP101" s="13"/>
      <c r="CQ101" s="13"/>
      <c r="CR101" s="13"/>
      <c r="CS101" s="13"/>
      <c r="CT101" s="13"/>
      <c r="CU101" s="13"/>
    </row>
    <row r="102" spans="1:99" x14ac:dyDescent="0.4">
      <c r="A102" s="17"/>
      <c r="B102" s="17"/>
      <c r="C102" s="17"/>
      <c r="D102" s="20"/>
      <c r="E102" s="20"/>
      <c r="F102" s="20"/>
      <c r="G102" s="20"/>
      <c r="H102" s="29"/>
      <c r="I102" s="3"/>
      <c r="J102" s="13"/>
      <c r="K102" s="13"/>
      <c r="L102" s="13"/>
      <c r="M102" s="13"/>
      <c r="N102" s="13"/>
      <c r="O102" s="13"/>
      <c r="P102" s="13"/>
      <c r="Q102" s="13"/>
      <c r="R102" s="13"/>
      <c r="T102" s="17"/>
      <c r="U102" s="17"/>
      <c r="V102" s="17"/>
      <c r="W102" s="17"/>
      <c r="AC102" s="17"/>
      <c r="AD102" s="17"/>
      <c r="AE102" s="17"/>
      <c r="AF102" s="27"/>
      <c r="AG102" s="27"/>
      <c r="AH102" s="28"/>
      <c r="AI102" s="28"/>
      <c r="AJ102" s="28"/>
      <c r="AK102" s="29"/>
      <c r="AL102" s="3"/>
      <c r="AM102" s="13"/>
      <c r="AN102" s="13"/>
      <c r="AO102" s="13"/>
      <c r="AP102" s="17"/>
      <c r="AQ102" s="17"/>
      <c r="AR102" s="17"/>
      <c r="BD102" s="17"/>
      <c r="BE102" s="17"/>
      <c r="BF102" s="17"/>
      <c r="BG102" s="27"/>
      <c r="BH102" s="28"/>
      <c r="BI102" s="17"/>
      <c r="BJ102" s="17"/>
      <c r="BK102" s="17"/>
      <c r="BP102" s="13"/>
      <c r="BQ102" s="13"/>
      <c r="BR102" s="13"/>
      <c r="BS102" s="13"/>
      <c r="BT102" s="13"/>
      <c r="BU102" s="13"/>
      <c r="CD102" s="17"/>
      <c r="CE102" s="17"/>
      <c r="CF102" s="17"/>
      <c r="CG102" s="27"/>
      <c r="CH102" s="28"/>
      <c r="CI102" s="28"/>
      <c r="CJ102" s="28"/>
      <c r="CK102" s="29"/>
      <c r="CL102" s="3"/>
      <c r="CM102" s="13"/>
      <c r="CN102" s="13"/>
      <c r="CO102" s="13"/>
      <c r="CP102" s="13"/>
      <c r="CQ102" s="13"/>
      <c r="CR102" s="13"/>
      <c r="CS102" s="13"/>
      <c r="CT102" s="13"/>
      <c r="CU102" s="13"/>
    </row>
    <row r="103" spans="1:99" x14ac:dyDescent="0.4">
      <c r="A103" s="17"/>
      <c r="B103" s="17"/>
      <c r="C103" s="17"/>
      <c r="D103" s="20"/>
      <c r="E103" s="20"/>
      <c r="F103" s="20"/>
      <c r="G103" s="20"/>
      <c r="H103" s="29"/>
      <c r="I103" s="3"/>
      <c r="J103" s="13"/>
      <c r="K103" s="13"/>
      <c r="L103" s="13"/>
      <c r="M103" s="13"/>
      <c r="N103" s="13"/>
      <c r="O103" s="13"/>
      <c r="P103" s="13"/>
      <c r="Q103" s="13"/>
      <c r="R103" s="13"/>
      <c r="T103" s="17"/>
      <c r="U103" s="17"/>
      <c r="V103" s="17"/>
      <c r="W103" s="17"/>
      <c r="AC103" s="17"/>
      <c r="AD103" s="17"/>
      <c r="AE103" s="17"/>
      <c r="AF103" s="27"/>
      <c r="AG103" s="27"/>
      <c r="AH103" s="28"/>
      <c r="AI103" s="28"/>
      <c r="AJ103" s="28"/>
      <c r="AK103" s="29"/>
      <c r="AL103" s="3"/>
      <c r="AM103" s="13"/>
      <c r="AN103" s="13"/>
      <c r="AO103" s="13"/>
      <c r="AP103" s="17"/>
      <c r="AQ103" s="17"/>
      <c r="AR103" s="17"/>
      <c r="BD103" s="17"/>
      <c r="BE103" s="17"/>
      <c r="BF103" s="17"/>
      <c r="BG103" s="27"/>
      <c r="BH103" s="28"/>
      <c r="BI103" s="17"/>
      <c r="BJ103" s="17"/>
      <c r="BK103" s="17"/>
      <c r="BP103" s="13"/>
      <c r="BQ103" s="13"/>
      <c r="BR103" s="13"/>
      <c r="BS103" s="13"/>
      <c r="BT103" s="13"/>
      <c r="BU103" s="13"/>
      <c r="CD103" s="17"/>
      <c r="CE103" s="17"/>
      <c r="CF103" s="17"/>
      <c r="CG103" s="27"/>
      <c r="CH103" s="28"/>
      <c r="CI103" s="28"/>
      <c r="CJ103" s="28"/>
      <c r="CK103" s="29"/>
      <c r="CL103" s="3"/>
      <c r="CM103" s="13"/>
      <c r="CN103" s="13"/>
      <c r="CO103" s="13"/>
      <c r="CP103" s="13"/>
      <c r="CQ103" s="13"/>
      <c r="CR103" s="13"/>
      <c r="CS103" s="13"/>
      <c r="CT103" s="13"/>
      <c r="CU103" s="13"/>
    </row>
    <row r="104" spans="1:99" x14ac:dyDescent="0.4">
      <c r="A104" s="17"/>
      <c r="B104" s="17"/>
      <c r="C104" s="17"/>
      <c r="D104" s="20"/>
      <c r="E104" s="20"/>
      <c r="F104" s="20"/>
      <c r="G104" s="20"/>
      <c r="H104" s="29"/>
      <c r="I104" s="3"/>
      <c r="J104" s="13"/>
      <c r="K104" s="13"/>
      <c r="L104" s="13"/>
      <c r="M104" s="13"/>
      <c r="N104" s="13"/>
      <c r="O104" s="13"/>
      <c r="P104" s="13"/>
      <c r="Q104" s="13"/>
      <c r="R104" s="13"/>
      <c r="T104" s="17"/>
      <c r="U104" s="17"/>
      <c r="V104" s="17"/>
      <c r="W104" s="17"/>
      <c r="AC104" s="17"/>
      <c r="AD104" s="17"/>
      <c r="AE104" s="17"/>
      <c r="AF104" s="27"/>
      <c r="AG104" s="27"/>
      <c r="AH104" s="28"/>
      <c r="AI104" s="28"/>
      <c r="AJ104" s="28"/>
      <c r="AK104" s="29"/>
      <c r="AL104" s="3"/>
      <c r="AM104" s="13"/>
      <c r="AN104" s="13"/>
      <c r="AO104" s="13"/>
      <c r="AP104" s="17"/>
      <c r="AQ104" s="17"/>
      <c r="AR104" s="17"/>
      <c r="BD104" s="17"/>
      <c r="BE104" s="17"/>
      <c r="BF104" s="17"/>
      <c r="BG104" s="27"/>
      <c r="BH104" s="28"/>
      <c r="BI104" s="17"/>
      <c r="BJ104" s="17"/>
      <c r="BK104" s="17"/>
      <c r="BP104" s="13"/>
      <c r="BQ104" s="13"/>
      <c r="BR104" s="13"/>
      <c r="BS104" s="13"/>
      <c r="BT104" s="13"/>
      <c r="BU104" s="13"/>
      <c r="CD104" s="17"/>
      <c r="CE104" s="17"/>
      <c r="CF104" s="17"/>
      <c r="CG104" s="27"/>
      <c r="CH104" s="28"/>
      <c r="CI104" s="28"/>
      <c r="CJ104" s="28"/>
      <c r="CK104" s="29"/>
      <c r="CL104" s="3"/>
      <c r="CM104" s="13"/>
      <c r="CN104" s="13"/>
      <c r="CO104" s="13"/>
      <c r="CP104" s="13"/>
      <c r="CQ104" s="13"/>
      <c r="CR104" s="13"/>
      <c r="CS104" s="13"/>
      <c r="CT104" s="13"/>
      <c r="CU104" s="13"/>
    </row>
    <row r="105" spans="1:99" x14ac:dyDescent="0.4">
      <c r="A105" s="17"/>
      <c r="B105" s="17"/>
      <c r="C105" s="17"/>
      <c r="D105" s="20"/>
      <c r="E105" s="20"/>
      <c r="F105" s="20"/>
      <c r="G105" s="20"/>
      <c r="H105" s="29"/>
      <c r="I105" s="3"/>
      <c r="J105" s="13"/>
      <c r="K105" s="13"/>
      <c r="L105" s="13"/>
      <c r="M105" s="13"/>
      <c r="N105" s="13"/>
      <c r="O105" s="13"/>
      <c r="P105" s="13"/>
      <c r="Q105" s="13"/>
      <c r="R105" s="13"/>
      <c r="T105" s="17"/>
      <c r="U105" s="17"/>
      <c r="V105" s="17"/>
      <c r="W105" s="17"/>
      <c r="AC105" s="17"/>
      <c r="AD105" s="17"/>
      <c r="AE105" s="17"/>
      <c r="AF105" s="27"/>
      <c r="AG105" s="27"/>
      <c r="AH105" s="28"/>
      <c r="AI105" s="28"/>
      <c r="AJ105" s="28"/>
      <c r="AK105" s="29"/>
      <c r="AL105" s="3"/>
      <c r="AM105" s="13"/>
      <c r="AN105" s="13"/>
      <c r="AO105" s="13"/>
      <c r="AP105" s="17"/>
      <c r="AQ105" s="17"/>
      <c r="AR105" s="17"/>
      <c r="BD105" s="17"/>
      <c r="BE105" s="17"/>
      <c r="BF105" s="17"/>
      <c r="BG105" s="27"/>
      <c r="BH105" s="28"/>
      <c r="BI105" s="17"/>
      <c r="BJ105" s="17"/>
      <c r="BK105" s="17"/>
      <c r="BP105" s="13"/>
      <c r="BQ105" s="13"/>
      <c r="BR105" s="13"/>
      <c r="BS105" s="13"/>
      <c r="BT105" s="13"/>
      <c r="BU105" s="13"/>
      <c r="CD105" s="17"/>
      <c r="CE105" s="17"/>
      <c r="CF105" s="17"/>
      <c r="CG105" s="27"/>
      <c r="CH105" s="28"/>
      <c r="CI105" s="28"/>
      <c r="CJ105" s="28"/>
      <c r="CK105" s="29"/>
      <c r="CL105" s="3"/>
      <c r="CM105" s="13"/>
      <c r="CN105" s="13"/>
      <c r="CO105" s="13"/>
      <c r="CP105" s="13"/>
      <c r="CQ105" s="13"/>
      <c r="CR105" s="13"/>
      <c r="CS105" s="13"/>
      <c r="CT105" s="13"/>
      <c r="CU105" s="13"/>
    </row>
    <row r="106" spans="1:99" x14ac:dyDescent="0.4">
      <c r="A106" s="17"/>
      <c r="B106" s="17"/>
      <c r="C106" s="17"/>
      <c r="D106" s="20"/>
      <c r="E106" s="20"/>
      <c r="F106" s="20"/>
      <c r="G106" s="20"/>
      <c r="H106" s="29"/>
      <c r="I106" s="3"/>
      <c r="J106" s="13"/>
      <c r="K106" s="13"/>
      <c r="L106" s="13"/>
      <c r="M106" s="13"/>
      <c r="N106" s="13"/>
      <c r="O106" s="13"/>
      <c r="P106" s="13"/>
      <c r="Q106" s="13"/>
      <c r="R106" s="13"/>
      <c r="T106" s="17"/>
      <c r="U106" s="17"/>
      <c r="V106" s="17"/>
      <c r="W106" s="17"/>
      <c r="AC106" s="17"/>
      <c r="AD106" s="17"/>
      <c r="AE106" s="17"/>
      <c r="AF106" s="27"/>
      <c r="AG106" s="27"/>
      <c r="AH106" s="28"/>
      <c r="AI106" s="28"/>
      <c r="AJ106" s="28"/>
      <c r="AK106" s="29"/>
      <c r="AL106" s="3"/>
      <c r="AM106" s="13"/>
      <c r="AN106" s="13"/>
      <c r="AO106" s="13"/>
      <c r="AP106" s="17"/>
      <c r="AQ106" s="17"/>
      <c r="AR106" s="17"/>
      <c r="BD106" s="17"/>
      <c r="BE106" s="17"/>
      <c r="BF106" s="17"/>
      <c r="BG106" s="27"/>
      <c r="BH106" s="28"/>
      <c r="BI106" s="17"/>
      <c r="BJ106" s="17"/>
      <c r="BK106" s="17"/>
      <c r="BP106" s="13"/>
      <c r="BQ106" s="13"/>
      <c r="BR106" s="13"/>
      <c r="BS106" s="13"/>
      <c r="BT106" s="13"/>
      <c r="BU106" s="13"/>
      <c r="CD106" s="17"/>
      <c r="CE106" s="17"/>
      <c r="CF106" s="17"/>
      <c r="CG106" s="27"/>
      <c r="CH106" s="28"/>
      <c r="CI106" s="28"/>
      <c r="CJ106" s="28"/>
      <c r="CK106" s="29"/>
      <c r="CL106" s="3"/>
      <c r="CM106" s="13"/>
      <c r="CN106" s="13"/>
      <c r="CO106" s="13"/>
      <c r="CP106" s="13"/>
      <c r="CQ106" s="13"/>
      <c r="CR106" s="13"/>
      <c r="CS106" s="13"/>
      <c r="CT106" s="13"/>
      <c r="CU106" s="13"/>
    </row>
    <row r="107" spans="1:99" x14ac:dyDescent="0.4">
      <c r="A107" s="17"/>
      <c r="B107" s="17"/>
      <c r="C107" s="17"/>
      <c r="D107" s="20"/>
      <c r="E107" s="20"/>
      <c r="F107" s="20"/>
      <c r="G107" s="20"/>
      <c r="H107" s="29"/>
      <c r="I107" s="3"/>
      <c r="J107" s="13"/>
      <c r="K107" s="13"/>
      <c r="L107" s="13"/>
      <c r="M107" s="13"/>
      <c r="N107" s="13"/>
      <c r="O107" s="13"/>
      <c r="P107" s="13"/>
      <c r="Q107" s="13"/>
      <c r="R107" s="13"/>
      <c r="T107" s="17"/>
      <c r="U107" s="17"/>
      <c r="V107" s="17"/>
      <c r="W107" s="17"/>
      <c r="AC107" s="17"/>
      <c r="AD107" s="17"/>
      <c r="AE107" s="17"/>
      <c r="AF107" s="27"/>
      <c r="AG107" s="27"/>
      <c r="AH107" s="28"/>
      <c r="AI107" s="28"/>
      <c r="AJ107" s="28"/>
      <c r="AK107" s="29"/>
      <c r="AL107" s="3"/>
      <c r="AM107" s="13"/>
      <c r="AN107" s="13"/>
      <c r="AO107" s="13"/>
      <c r="AP107" s="17"/>
      <c r="AQ107" s="17"/>
      <c r="AR107" s="17"/>
      <c r="BD107" s="17"/>
      <c r="BE107" s="17"/>
      <c r="BF107" s="17"/>
      <c r="BG107" s="27"/>
      <c r="BH107" s="28"/>
      <c r="BI107" s="17"/>
      <c r="BJ107" s="17"/>
      <c r="BK107" s="17"/>
      <c r="BP107" s="13"/>
      <c r="BQ107" s="13"/>
      <c r="BR107" s="13"/>
      <c r="BS107" s="13"/>
      <c r="BT107" s="13"/>
      <c r="BU107" s="13"/>
      <c r="CD107" s="17"/>
      <c r="CE107" s="17"/>
      <c r="CF107" s="17"/>
      <c r="CG107" s="27"/>
      <c r="CH107" s="28"/>
      <c r="CI107" s="28"/>
      <c r="CJ107" s="28"/>
      <c r="CK107" s="29"/>
      <c r="CL107" s="3"/>
      <c r="CM107" s="13"/>
      <c r="CN107" s="13"/>
      <c r="CO107" s="13"/>
      <c r="CP107" s="13"/>
      <c r="CQ107" s="13"/>
      <c r="CR107" s="13"/>
      <c r="CS107" s="13"/>
      <c r="CT107" s="13"/>
      <c r="CU107" s="13"/>
    </row>
    <row r="108" spans="1:99" x14ac:dyDescent="0.4">
      <c r="A108" s="17"/>
      <c r="B108" s="17"/>
      <c r="C108" s="17"/>
      <c r="D108" s="20"/>
      <c r="E108" s="20"/>
      <c r="F108" s="20"/>
      <c r="G108" s="20"/>
      <c r="H108" s="29"/>
      <c r="I108" s="3"/>
      <c r="J108" s="13"/>
      <c r="K108" s="13"/>
      <c r="L108" s="13"/>
      <c r="M108" s="13"/>
      <c r="N108" s="13"/>
      <c r="O108" s="13"/>
      <c r="P108" s="13"/>
      <c r="Q108" s="13"/>
      <c r="R108" s="13"/>
      <c r="T108" s="17"/>
      <c r="U108" s="17"/>
      <c r="V108" s="17"/>
      <c r="W108" s="17"/>
      <c r="AC108" s="17"/>
      <c r="AD108" s="17"/>
      <c r="AE108" s="17"/>
      <c r="AF108" s="27"/>
      <c r="AG108" s="27"/>
      <c r="AH108" s="28"/>
      <c r="AI108" s="28"/>
      <c r="AJ108" s="28"/>
      <c r="AK108" s="29"/>
      <c r="AL108" s="3"/>
      <c r="AM108" s="13"/>
      <c r="AN108" s="13"/>
      <c r="AO108" s="13"/>
      <c r="AP108" s="17"/>
      <c r="AQ108" s="17"/>
      <c r="AR108" s="17"/>
      <c r="BD108" s="17"/>
      <c r="BE108" s="17"/>
      <c r="BF108" s="17"/>
      <c r="BG108" s="27"/>
      <c r="BH108" s="28"/>
      <c r="BI108" s="17"/>
      <c r="BJ108" s="17"/>
      <c r="BK108" s="17"/>
      <c r="BP108" s="13"/>
      <c r="BQ108" s="13"/>
      <c r="BR108" s="13"/>
      <c r="BS108" s="13"/>
      <c r="BT108" s="13"/>
      <c r="BU108" s="13"/>
      <c r="CD108" s="17"/>
      <c r="CE108" s="17"/>
      <c r="CF108" s="17"/>
      <c r="CG108" s="27"/>
      <c r="CH108" s="28"/>
      <c r="CI108" s="28"/>
      <c r="CJ108" s="28"/>
      <c r="CK108" s="29"/>
      <c r="CL108" s="3"/>
      <c r="CM108" s="13"/>
      <c r="CN108" s="13"/>
      <c r="CO108" s="13"/>
      <c r="CP108" s="13"/>
      <c r="CQ108" s="13"/>
      <c r="CR108" s="13"/>
      <c r="CS108" s="13"/>
      <c r="CT108" s="13"/>
      <c r="CU108" s="13"/>
    </row>
    <row r="109" spans="1:99" x14ac:dyDescent="0.4">
      <c r="A109" s="17"/>
      <c r="B109" s="17"/>
      <c r="C109" s="17"/>
      <c r="D109" s="20"/>
      <c r="E109" s="20"/>
      <c r="F109" s="20"/>
      <c r="G109" s="20"/>
      <c r="H109" s="29"/>
      <c r="I109" s="3"/>
      <c r="J109" s="13"/>
      <c r="K109" s="13"/>
      <c r="L109" s="13"/>
      <c r="M109" s="13"/>
      <c r="N109" s="13"/>
      <c r="O109" s="13"/>
      <c r="P109" s="13"/>
      <c r="Q109" s="13"/>
      <c r="R109" s="13"/>
      <c r="T109" s="17"/>
      <c r="U109" s="17"/>
      <c r="V109" s="17"/>
      <c r="W109" s="17"/>
      <c r="AC109" s="17"/>
      <c r="AD109" s="17"/>
      <c r="AE109" s="17"/>
      <c r="AF109" s="27"/>
      <c r="AG109" s="27"/>
      <c r="AH109" s="28"/>
      <c r="AI109" s="28"/>
      <c r="AJ109" s="28"/>
      <c r="AK109" s="29"/>
      <c r="AL109" s="3"/>
      <c r="AM109" s="13"/>
      <c r="AN109" s="13"/>
      <c r="AO109" s="13"/>
      <c r="AP109" s="17"/>
      <c r="AQ109" s="17"/>
      <c r="AR109" s="17"/>
      <c r="BD109" s="17"/>
      <c r="BE109" s="17"/>
      <c r="BF109" s="17"/>
      <c r="BG109" s="27"/>
      <c r="BH109" s="28"/>
      <c r="BI109" s="17"/>
      <c r="BJ109" s="17"/>
      <c r="BK109" s="17"/>
      <c r="BP109" s="13"/>
      <c r="BQ109" s="13"/>
      <c r="BR109" s="13"/>
      <c r="BS109" s="13"/>
      <c r="BT109" s="13"/>
      <c r="BU109" s="13"/>
      <c r="CD109" s="17"/>
      <c r="CE109" s="17"/>
      <c r="CF109" s="17"/>
      <c r="CG109" s="27"/>
      <c r="CH109" s="28"/>
      <c r="CI109" s="28"/>
      <c r="CJ109" s="28"/>
      <c r="CK109" s="29"/>
      <c r="CL109" s="3"/>
      <c r="CM109" s="13"/>
      <c r="CN109" s="13"/>
      <c r="CO109" s="13"/>
      <c r="CP109" s="13"/>
      <c r="CQ109" s="13"/>
      <c r="CR109" s="13"/>
      <c r="CS109" s="13"/>
      <c r="CT109" s="13"/>
      <c r="CU109" s="13"/>
    </row>
    <row r="110" spans="1:99" x14ac:dyDescent="0.4">
      <c r="A110" s="17"/>
      <c r="B110" s="17"/>
      <c r="C110" s="17"/>
      <c r="D110" s="20"/>
      <c r="E110" s="20"/>
      <c r="F110" s="20"/>
      <c r="G110" s="20"/>
      <c r="H110" s="29"/>
      <c r="I110" s="3"/>
      <c r="J110" s="13"/>
      <c r="K110" s="13"/>
      <c r="L110" s="13"/>
      <c r="M110" s="13"/>
      <c r="N110" s="13"/>
      <c r="O110" s="13"/>
      <c r="P110" s="13"/>
      <c r="Q110" s="13"/>
      <c r="R110" s="13"/>
      <c r="T110" s="17"/>
      <c r="U110" s="17"/>
      <c r="V110" s="17"/>
      <c r="W110" s="17"/>
      <c r="AC110" s="17"/>
      <c r="AD110" s="17"/>
      <c r="AE110" s="17"/>
      <c r="AF110" s="27"/>
      <c r="AG110" s="27"/>
      <c r="AH110" s="28"/>
      <c r="AI110" s="28"/>
      <c r="AJ110" s="28"/>
      <c r="AK110" s="29"/>
      <c r="AL110" s="3"/>
      <c r="AM110" s="13"/>
      <c r="AN110" s="13"/>
      <c r="AO110" s="13"/>
      <c r="AP110" s="17"/>
      <c r="AQ110" s="17"/>
      <c r="AR110" s="17"/>
      <c r="BD110" s="17"/>
      <c r="BE110" s="17"/>
      <c r="BF110" s="17"/>
      <c r="BG110" s="27"/>
      <c r="BH110" s="28"/>
      <c r="BI110" s="17"/>
      <c r="BJ110" s="17"/>
      <c r="BK110" s="17"/>
      <c r="BP110" s="13"/>
      <c r="BQ110" s="13"/>
      <c r="BR110" s="13"/>
      <c r="BS110" s="13"/>
      <c r="BT110" s="13"/>
      <c r="BU110" s="13"/>
      <c r="CD110" s="17"/>
      <c r="CE110" s="17"/>
      <c r="CF110" s="17"/>
      <c r="CG110" s="27"/>
      <c r="CH110" s="28"/>
      <c r="CI110" s="28"/>
      <c r="CJ110" s="28"/>
      <c r="CK110" s="29"/>
      <c r="CL110" s="3"/>
      <c r="CM110" s="13"/>
      <c r="CN110" s="13"/>
      <c r="CO110" s="13"/>
      <c r="CP110" s="13"/>
      <c r="CQ110" s="13"/>
      <c r="CR110" s="13"/>
      <c r="CS110" s="13"/>
      <c r="CT110" s="13"/>
      <c r="CU110" s="13"/>
    </row>
    <row r="111" spans="1:99" x14ac:dyDescent="0.4">
      <c r="A111" s="17"/>
      <c r="B111" s="17"/>
      <c r="C111" s="17"/>
      <c r="D111" s="20"/>
      <c r="E111" s="20"/>
      <c r="F111" s="20"/>
      <c r="G111" s="20"/>
      <c r="H111" s="29"/>
      <c r="I111" s="3"/>
      <c r="J111" s="13"/>
      <c r="K111" s="13"/>
      <c r="L111" s="13"/>
      <c r="M111" s="13"/>
      <c r="N111" s="13"/>
      <c r="O111" s="13"/>
      <c r="P111" s="13"/>
      <c r="Q111" s="13"/>
      <c r="R111" s="13"/>
      <c r="T111" s="17"/>
      <c r="U111" s="17"/>
      <c r="V111" s="17"/>
      <c r="W111" s="17"/>
      <c r="AC111" s="17"/>
      <c r="AD111" s="17"/>
      <c r="AE111" s="17"/>
      <c r="AF111" s="27"/>
      <c r="AG111" s="27"/>
      <c r="AH111" s="28"/>
      <c r="AI111" s="28"/>
      <c r="AJ111" s="28"/>
      <c r="AK111" s="29"/>
      <c r="AL111" s="3"/>
      <c r="AM111" s="13"/>
      <c r="AN111" s="13"/>
      <c r="AO111" s="13"/>
      <c r="AP111" s="17"/>
      <c r="AQ111" s="17"/>
      <c r="AR111" s="17"/>
      <c r="BD111" s="17"/>
      <c r="BE111" s="17"/>
      <c r="BF111" s="17"/>
      <c r="BG111" s="27"/>
      <c r="BH111" s="28"/>
      <c r="BI111" s="17"/>
      <c r="BJ111" s="17"/>
      <c r="BK111" s="17"/>
      <c r="BP111" s="13"/>
      <c r="BQ111" s="13"/>
      <c r="BR111" s="13"/>
      <c r="BS111" s="13"/>
      <c r="BT111" s="13"/>
      <c r="BU111" s="13"/>
      <c r="CD111" s="17"/>
      <c r="CE111" s="17"/>
      <c r="CF111" s="17"/>
      <c r="CG111" s="27"/>
      <c r="CH111" s="28"/>
      <c r="CI111" s="28"/>
      <c r="CJ111" s="28"/>
      <c r="CK111" s="29"/>
      <c r="CL111" s="3"/>
      <c r="CM111" s="13"/>
      <c r="CN111" s="13"/>
      <c r="CO111" s="13"/>
      <c r="CP111" s="13"/>
      <c r="CQ111" s="13"/>
      <c r="CR111" s="13"/>
      <c r="CS111" s="13"/>
      <c r="CT111" s="13"/>
      <c r="CU111" s="13"/>
    </row>
    <row r="112" spans="1:99" x14ac:dyDescent="0.4">
      <c r="A112" s="17"/>
      <c r="B112" s="17"/>
      <c r="C112" s="17"/>
      <c r="D112" s="20"/>
      <c r="E112" s="20"/>
      <c r="F112" s="20"/>
      <c r="G112" s="20"/>
      <c r="H112" s="29"/>
      <c r="I112" s="3"/>
      <c r="J112" s="13"/>
      <c r="K112" s="13"/>
      <c r="L112" s="13"/>
      <c r="M112" s="13"/>
      <c r="N112" s="13"/>
      <c r="O112" s="13"/>
      <c r="P112" s="13"/>
      <c r="Q112" s="13"/>
      <c r="R112" s="13"/>
      <c r="T112" s="17"/>
      <c r="U112" s="17"/>
      <c r="V112" s="17"/>
      <c r="W112" s="17"/>
      <c r="AC112" s="17"/>
      <c r="AD112" s="17"/>
      <c r="AE112" s="17"/>
      <c r="AF112" s="27"/>
      <c r="AG112" s="27"/>
      <c r="AH112" s="28"/>
      <c r="AI112" s="28"/>
      <c r="AJ112" s="28"/>
      <c r="AK112" s="29"/>
      <c r="AL112" s="3"/>
      <c r="AM112" s="13"/>
      <c r="AN112" s="13"/>
      <c r="AO112" s="13"/>
      <c r="AP112" s="17"/>
      <c r="AQ112" s="17"/>
      <c r="AR112" s="17"/>
      <c r="BD112" s="17"/>
      <c r="BE112" s="17"/>
      <c r="BF112" s="17"/>
      <c r="BG112" s="27"/>
      <c r="BH112" s="28"/>
      <c r="BI112" s="17"/>
      <c r="BJ112" s="17"/>
      <c r="BK112" s="17"/>
      <c r="BP112" s="13"/>
      <c r="BQ112" s="13"/>
      <c r="BR112" s="13"/>
      <c r="BS112" s="13"/>
      <c r="BT112" s="13"/>
      <c r="BU112" s="13"/>
      <c r="CD112" s="17"/>
      <c r="CE112" s="17"/>
      <c r="CF112" s="17"/>
      <c r="CG112" s="27"/>
      <c r="CH112" s="28"/>
      <c r="CI112" s="28"/>
      <c r="CJ112" s="28"/>
      <c r="CK112" s="29"/>
      <c r="CL112" s="3"/>
      <c r="CM112" s="13"/>
      <c r="CN112" s="13"/>
      <c r="CO112" s="13"/>
      <c r="CP112" s="13"/>
      <c r="CQ112" s="13"/>
      <c r="CR112" s="13"/>
      <c r="CS112" s="13"/>
      <c r="CT112" s="13"/>
      <c r="CU112" s="13"/>
    </row>
    <row r="113" spans="1:99" x14ac:dyDescent="0.4">
      <c r="A113" s="17"/>
      <c r="B113" s="17"/>
      <c r="C113" s="17"/>
      <c r="D113" s="20"/>
      <c r="E113" s="20"/>
      <c r="F113" s="20"/>
      <c r="G113" s="20"/>
      <c r="H113" s="29"/>
      <c r="I113" s="3"/>
      <c r="J113" s="13"/>
      <c r="K113" s="13"/>
      <c r="L113" s="13"/>
      <c r="M113" s="13"/>
      <c r="N113" s="13"/>
      <c r="O113" s="13"/>
      <c r="P113" s="13"/>
      <c r="Q113" s="13"/>
      <c r="R113" s="13"/>
      <c r="T113" s="17"/>
      <c r="U113" s="17"/>
      <c r="V113" s="17"/>
      <c r="W113" s="17"/>
      <c r="AC113" s="17"/>
      <c r="AD113" s="17"/>
      <c r="AE113" s="17"/>
      <c r="AF113" s="27"/>
      <c r="AG113" s="27"/>
      <c r="AH113" s="28"/>
      <c r="AI113" s="28"/>
      <c r="AJ113" s="28"/>
      <c r="AK113" s="29"/>
      <c r="AL113" s="3"/>
      <c r="AM113" s="13"/>
      <c r="AN113" s="13"/>
      <c r="AO113" s="13"/>
      <c r="AP113" s="17"/>
      <c r="AQ113" s="17"/>
      <c r="AR113" s="17"/>
      <c r="BD113" s="17"/>
      <c r="BE113" s="17"/>
      <c r="BF113" s="17"/>
      <c r="BG113" s="27"/>
      <c r="BH113" s="28"/>
      <c r="BI113" s="17"/>
      <c r="BJ113" s="17"/>
      <c r="BK113" s="17"/>
      <c r="BP113" s="13"/>
      <c r="BQ113" s="13"/>
      <c r="BR113" s="13"/>
      <c r="BS113" s="13"/>
      <c r="BT113" s="13"/>
      <c r="BU113" s="13"/>
      <c r="CD113" s="17"/>
      <c r="CE113" s="17"/>
      <c r="CF113" s="17"/>
      <c r="CG113" s="27"/>
      <c r="CH113" s="28"/>
      <c r="CI113" s="28"/>
      <c r="CJ113" s="28"/>
      <c r="CK113" s="29"/>
      <c r="CL113" s="3"/>
      <c r="CM113" s="13"/>
      <c r="CN113" s="13"/>
      <c r="CO113" s="13"/>
      <c r="CP113" s="13"/>
      <c r="CQ113" s="13"/>
      <c r="CR113" s="13"/>
      <c r="CS113" s="13"/>
      <c r="CT113" s="13"/>
      <c r="CU113" s="13"/>
    </row>
    <row r="114" spans="1:99" x14ac:dyDescent="0.4">
      <c r="A114" s="17"/>
      <c r="B114" s="17"/>
      <c r="C114" s="17"/>
      <c r="D114" s="20"/>
      <c r="E114" s="20"/>
      <c r="F114" s="20"/>
      <c r="G114" s="20"/>
      <c r="H114" s="29"/>
      <c r="I114" s="3"/>
      <c r="J114" s="13"/>
      <c r="K114" s="13"/>
      <c r="L114" s="13"/>
      <c r="M114" s="13"/>
      <c r="N114" s="13"/>
      <c r="O114" s="13"/>
      <c r="P114" s="13"/>
      <c r="Q114" s="13"/>
      <c r="R114" s="13"/>
      <c r="T114" s="17"/>
      <c r="U114" s="17"/>
      <c r="V114" s="17"/>
      <c r="W114" s="17"/>
      <c r="AC114" s="17"/>
      <c r="AD114" s="17"/>
      <c r="AE114" s="17"/>
      <c r="AF114" s="27"/>
      <c r="AG114" s="27"/>
      <c r="AH114" s="28"/>
      <c r="AI114" s="28"/>
      <c r="AJ114" s="28"/>
      <c r="AK114" s="29"/>
      <c r="AL114" s="3"/>
      <c r="AM114" s="13"/>
      <c r="AN114" s="13"/>
      <c r="AO114" s="13"/>
      <c r="AP114" s="17"/>
      <c r="AQ114" s="17"/>
      <c r="AR114" s="17"/>
      <c r="BD114" s="17"/>
      <c r="BE114" s="17"/>
      <c r="BF114" s="17"/>
      <c r="BG114" s="27"/>
      <c r="BH114" s="28"/>
      <c r="BI114" s="17"/>
      <c r="BJ114" s="17"/>
      <c r="BK114" s="17"/>
      <c r="BP114" s="13"/>
      <c r="BQ114" s="13"/>
      <c r="BR114" s="13"/>
      <c r="BS114" s="13"/>
      <c r="BT114" s="13"/>
      <c r="BU114" s="13"/>
      <c r="CD114" s="17"/>
      <c r="CE114" s="17"/>
      <c r="CF114" s="17"/>
      <c r="CG114" s="27"/>
      <c r="CH114" s="28"/>
      <c r="CI114" s="28"/>
      <c r="CJ114" s="28"/>
      <c r="CK114" s="29"/>
      <c r="CL114" s="3"/>
      <c r="CM114" s="13"/>
      <c r="CN114" s="13"/>
      <c r="CO114" s="13"/>
      <c r="CP114" s="13"/>
      <c r="CQ114" s="13"/>
      <c r="CR114" s="13"/>
      <c r="CS114" s="13"/>
      <c r="CT114" s="13"/>
      <c r="CU114" s="13"/>
    </row>
    <row r="115" spans="1:99" x14ac:dyDescent="0.4">
      <c r="A115" s="17"/>
      <c r="B115" s="17"/>
      <c r="C115" s="17"/>
      <c r="D115" s="20"/>
      <c r="E115" s="20"/>
      <c r="F115" s="20"/>
      <c r="G115" s="20"/>
      <c r="H115" s="29"/>
      <c r="I115" s="3"/>
      <c r="J115" s="13"/>
      <c r="K115" s="13"/>
      <c r="L115" s="13"/>
      <c r="M115" s="13"/>
      <c r="N115" s="13"/>
      <c r="O115" s="13"/>
      <c r="P115" s="13"/>
      <c r="Q115" s="13"/>
      <c r="R115" s="13"/>
      <c r="T115" s="17"/>
      <c r="U115" s="17"/>
      <c r="V115" s="17"/>
      <c r="W115" s="17"/>
      <c r="AC115" s="17"/>
      <c r="AD115" s="17"/>
      <c r="AE115" s="17"/>
      <c r="AF115" s="27"/>
      <c r="AG115" s="27"/>
      <c r="AH115" s="28"/>
      <c r="AI115" s="28"/>
      <c r="AJ115" s="28"/>
      <c r="AK115" s="29"/>
      <c r="AL115" s="3"/>
      <c r="AM115" s="13"/>
      <c r="AN115" s="13"/>
      <c r="AO115" s="13"/>
      <c r="AP115" s="17"/>
      <c r="AQ115" s="17"/>
      <c r="AR115" s="17"/>
      <c r="BD115" s="17"/>
      <c r="BE115" s="17"/>
      <c r="BF115" s="17"/>
      <c r="BG115" s="27"/>
      <c r="BH115" s="28"/>
      <c r="BI115" s="17"/>
      <c r="BJ115" s="17"/>
      <c r="BK115" s="17"/>
      <c r="BP115" s="13"/>
      <c r="BQ115" s="13"/>
      <c r="BR115" s="13"/>
      <c r="BS115" s="13"/>
      <c r="BT115" s="13"/>
      <c r="BU115" s="13"/>
      <c r="CD115" s="17"/>
      <c r="CE115" s="17"/>
      <c r="CF115" s="17"/>
      <c r="CG115" s="27"/>
      <c r="CH115" s="28"/>
      <c r="CI115" s="28"/>
      <c r="CJ115" s="28"/>
      <c r="CK115" s="29"/>
      <c r="CL115" s="3"/>
      <c r="CM115" s="13"/>
      <c r="CN115" s="13"/>
      <c r="CO115" s="13"/>
      <c r="CP115" s="13"/>
      <c r="CQ115" s="13"/>
      <c r="CR115" s="13"/>
      <c r="CS115" s="13"/>
      <c r="CT115" s="13"/>
      <c r="CU115" s="13"/>
    </row>
    <row r="116" spans="1:99" x14ac:dyDescent="0.4">
      <c r="A116" s="17"/>
      <c r="B116" s="17"/>
      <c r="C116" s="17"/>
      <c r="D116" s="20"/>
      <c r="E116" s="20"/>
      <c r="F116" s="20"/>
      <c r="G116" s="20"/>
      <c r="H116" s="29"/>
      <c r="I116" s="3"/>
      <c r="J116" s="13"/>
      <c r="K116" s="13"/>
      <c r="L116" s="13"/>
      <c r="M116" s="13"/>
      <c r="N116" s="13"/>
      <c r="O116" s="13"/>
      <c r="P116" s="13"/>
      <c r="Q116" s="13"/>
      <c r="R116" s="13"/>
      <c r="T116" s="17"/>
      <c r="U116" s="17"/>
      <c r="V116" s="17"/>
      <c r="W116" s="17"/>
      <c r="AC116" s="17"/>
      <c r="AD116" s="17"/>
      <c r="AE116" s="17"/>
      <c r="AF116" s="27"/>
      <c r="AG116" s="27"/>
      <c r="AH116" s="28"/>
      <c r="AI116" s="28"/>
      <c r="AJ116" s="28"/>
      <c r="AK116" s="29"/>
      <c r="AL116" s="3"/>
      <c r="AM116" s="13"/>
      <c r="AN116" s="13"/>
      <c r="AO116" s="13"/>
      <c r="AP116" s="17"/>
      <c r="AQ116" s="17"/>
      <c r="AR116" s="17"/>
      <c r="BD116" s="17"/>
      <c r="BE116" s="17"/>
      <c r="BF116" s="17"/>
      <c r="BG116" s="27"/>
      <c r="BH116" s="28"/>
      <c r="BI116" s="17"/>
      <c r="BJ116" s="17"/>
      <c r="BK116" s="17"/>
      <c r="BP116" s="13"/>
      <c r="BQ116" s="13"/>
      <c r="BR116" s="13"/>
      <c r="BS116" s="13"/>
      <c r="BT116" s="13"/>
      <c r="BU116" s="13"/>
      <c r="CD116" s="17"/>
      <c r="CE116" s="17"/>
      <c r="CF116" s="17"/>
      <c r="CG116" s="27"/>
      <c r="CH116" s="28"/>
      <c r="CI116" s="28"/>
      <c r="CJ116" s="28"/>
      <c r="CK116" s="29"/>
      <c r="CL116" s="3"/>
      <c r="CM116" s="13"/>
      <c r="CN116" s="13"/>
      <c r="CO116" s="13"/>
      <c r="CP116" s="13"/>
      <c r="CQ116" s="13"/>
      <c r="CR116" s="13"/>
      <c r="CS116" s="13"/>
      <c r="CT116" s="13"/>
      <c r="CU116" s="13"/>
    </row>
    <row r="117" spans="1:99" x14ac:dyDescent="0.4">
      <c r="A117" s="17"/>
      <c r="B117" s="17"/>
      <c r="C117" s="17"/>
      <c r="D117" s="20"/>
      <c r="E117" s="20"/>
      <c r="F117" s="20"/>
      <c r="G117" s="20"/>
      <c r="H117" s="29"/>
      <c r="I117" s="3"/>
      <c r="J117" s="13"/>
      <c r="K117" s="13"/>
      <c r="L117" s="13"/>
      <c r="M117" s="13"/>
      <c r="N117" s="13"/>
      <c r="O117" s="13"/>
      <c r="P117" s="13"/>
      <c r="Q117" s="13"/>
      <c r="R117" s="13"/>
      <c r="T117" s="17"/>
      <c r="U117" s="17"/>
      <c r="V117" s="17"/>
      <c r="W117" s="17"/>
      <c r="AC117" s="17"/>
      <c r="AD117" s="17"/>
      <c r="AE117" s="17"/>
      <c r="AF117" s="27"/>
      <c r="AG117" s="27"/>
      <c r="AH117" s="28"/>
      <c r="AI117" s="28"/>
      <c r="AJ117" s="28"/>
      <c r="AK117" s="29"/>
      <c r="AL117" s="3"/>
      <c r="AM117" s="13"/>
      <c r="AN117" s="13"/>
      <c r="AO117" s="13"/>
      <c r="AP117" s="17"/>
      <c r="AQ117" s="17"/>
      <c r="AR117" s="17"/>
      <c r="BD117" s="17"/>
      <c r="BE117" s="17"/>
      <c r="BF117" s="17"/>
      <c r="BG117" s="27"/>
      <c r="BH117" s="28"/>
      <c r="BI117" s="17"/>
      <c r="BJ117" s="17"/>
      <c r="BK117" s="17"/>
      <c r="BP117" s="13"/>
      <c r="BQ117" s="13"/>
      <c r="BR117" s="13"/>
      <c r="BS117" s="13"/>
      <c r="BT117" s="13"/>
      <c r="BU117" s="13"/>
      <c r="CD117" s="17"/>
      <c r="CE117" s="17"/>
      <c r="CF117" s="17"/>
      <c r="CG117" s="27"/>
      <c r="CH117" s="28"/>
      <c r="CI117" s="28"/>
      <c r="CJ117" s="28"/>
      <c r="CK117" s="29"/>
      <c r="CL117" s="3"/>
      <c r="CM117" s="13"/>
      <c r="CN117" s="13"/>
      <c r="CO117" s="13"/>
      <c r="CP117" s="13"/>
      <c r="CQ117" s="13"/>
      <c r="CR117" s="13"/>
      <c r="CS117" s="13"/>
      <c r="CT117" s="13"/>
      <c r="CU117" s="13"/>
    </row>
    <row r="118" spans="1:99" x14ac:dyDescent="0.4">
      <c r="A118" s="17"/>
      <c r="B118" s="17"/>
      <c r="C118" s="17"/>
      <c r="D118" s="20"/>
      <c r="E118" s="20"/>
      <c r="F118" s="20"/>
      <c r="G118" s="20"/>
      <c r="H118" s="29"/>
      <c r="I118" s="3"/>
      <c r="J118" s="13"/>
      <c r="K118" s="13"/>
      <c r="L118" s="13"/>
      <c r="M118" s="13"/>
      <c r="N118" s="13"/>
      <c r="O118" s="13"/>
      <c r="P118" s="13"/>
      <c r="Q118" s="13"/>
      <c r="R118" s="13"/>
      <c r="T118" s="17"/>
      <c r="U118" s="17"/>
      <c r="V118" s="17"/>
      <c r="W118" s="17"/>
      <c r="AC118" s="17"/>
      <c r="AD118" s="17"/>
      <c r="AE118" s="17"/>
      <c r="AF118" s="27"/>
      <c r="AG118" s="27"/>
      <c r="AH118" s="28"/>
      <c r="AI118" s="28"/>
      <c r="AJ118" s="28"/>
      <c r="AK118" s="29"/>
      <c r="AL118" s="3"/>
      <c r="AM118" s="13"/>
      <c r="AN118" s="13"/>
      <c r="AO118" s="13"/>
      <c r="AP118" s="17"/>
      <c r="AQ118" s="17"/>
      <c r="AR118" s="17"/>
      <c r="BD118" s="17"/>
      <c r="BE118" s="17"/>
      <c r="BF118" s="17"/>
      <c r="BG118" s="27"/>
      <c r="BH118" s="28"/>
      <c r="BI118" s="17"/>
      <c r="BJ118" s="17"/>
      <c r="BK118" s="17"/>
      <c r="BP118" s="13"/>
      <c r="BQ118" s="13"/>
      <c r="BR118" s="13"/>
      <c r="BS118" s="13"/>
      <c r="BT118" s="13"/>
      <c r="BU118" s="13"/>
      <c r="CD118" s="17"/>
      <c r="CE118" s="17"/>
      <c r="CF118" s="17"/>
      <c r="CG118" s="27"/>
      <c r="CH118" s="28"/>
      <c r="CI118" s="28"/>
      <c r="CJ118" s="28"/>
      <c r="CK118" s="29"/>
      <c r="CL118" s="3"/>
      <c r="CM118" s="13"/>
      <c r="CN118" s="13"/>
      <c r="CO118" s="13"/>
      <c r="CP118" s="13"/>
      <c r="CQ118" s="13"/>
      <c r="CR118" s="13"/>
      <c r="CS118" s="13"/>
      <c r="CT118" s="13"/>
      <c r="CU118" s="13"/>
    </row>
    <row r="119" spans="1:99" x14ac:dyDescent="0.4">
      <c r="A119" s="17"/>
      <c r="B119" s="17"/>
      <c r="C119" s="17"/>
      <c r="D119" s="20"/>
      <c r="E119" s="20"/>
      <c r="F119" s="20"/>
      <c r="G119" s="20"/>
      <c r="H119" s="29"/>
      <c r="I119" s="3"/>
      <c r="J119" s="13"/>
      <c r="K119" s="13"/>
      <c r="L119" s="13"/>
      <c r="M119" s="13"/>
      <c r="N119" s="13"/>
      <c r="O119" s="13"/>
      <c r="P119" s="13"/>
      <c r="Q119" s="13"/>
      <c r="R119" s="13"/>
      <c r="T119" s="17"/>
      <c r="U119" s="17"/>
      <c r="V119" s="17"/>
      <c r="W119" s="17"/>
      <c r="AC119" s="17"/>
      <c r="AD119" s="17"/>
      <c r="AE119" s="17"/>
      <c r="AF119" s="27"/>
      <c r="AG119" s="27"/>
      <c r="AH119" s="28"/>
      <c r="AI119" s="28"/>
      <c r="AJ119" s="28"/>
      <c r="AK119" s="29"/>
      <c r="AL119" s="3"/>
      <c r="AM119" s="13"/>
      <c r="AN119" s="13"/>
      <c r="AO119" s="13"/>
      <c r="AP119" s="17"/>
      <c r="AQ119" s="17"/>
      <c r="AR119" s="17"/>
      <c r="BD119" s="17"/>
      <c r="BE119" s="17"/>
      <c r="BF119" s="17"/>
      <c r="BG119" s="27"/>
      <c r="BH119" s="28"/>
      <c r="BI119" s="17"/>
      <c r="BJ119" s="17"/>
      <c r="BK119" s="17"/>
      <c r="BP119" s="13"/>
      <c r="BQ119" s="13"/>
      <c r="BR119" s="13"/>
      <c r="BS119" s="13"/>
      <c r="BT119" s="13"/>
      <c r="BU119" s="13"/>
      <c r="CD119" s="17"/>
      <c r="CE119" s="17"/>
      <c r="CF119" s="17"/>
      <c r="CG119" s="27"/>
      <c r="CH119" s="28"/>
      <c r="CI119" s="28"/>
      <c r="CJ119" s="28"/>
      <c r="CK119" s="29"/>
      <c r="CL119" s="3"/>
      <c r="CM119" s="13"/>
      <c r="CN119" s="13"/>
      <c r="CO119" s="13"/>
      <c r="CP119" s="13"/>
      <c r="CQ119" s="13"/>
      <c r="CR119" s="13"/>
      <c r="CS119" s="13"/>
      <c r="CT119" s="13"/>
      <c r="CU119" s="13"/>
    </row>
    <row r="120" spans="1:99" x14ac:dyDescent="0.4">
      <c r="A120" s="17"/>
      <c r="B120" s="17"/>
      <c r="C120" s="17"/>
      <c r="D120" s="20"/>
      <c r="E120" s="20"/>
      <c r="F120" s="20"/>
      <c r="G120" s="20"/>
      <c r="H120" s="29"/>
      <c r="I120" s="3"/>
      <c r="J120" s="13"/>
      <c r="K120" s="13"/>
      <c r="L120" s="13"/>
      <c r="M120" s="13"/>
      <c r="N120" s="13"/>
      <c r="O120" s="13"/>
      <c r="P120" s="13"/>
      <c r="Q120" s="13"/>
      <c r="R120" s="13"/>
      <c r="T120" s="17"/>
      <c r="U120" s="17"/>
      <c r="V120" s="17"/>
      <c r="W120" s="17"/>
      <c r="AC120" s="17"/>
      <c r="AD120" s="17"/>
      <c r="AE120" s="17"/>
      <c r="AF120" s="27"/>
      <c r="AG120" s="27"/>
      <c r="AH120" s="28"/>
      <c r="AI120" s="28"/>
      <c r="AJ120" s="28"/>
      <c r="AK120" s="29"/>
      <c r="AL120" s="3"/>
      <c r="AM120" s="13"/>
      <c r="AN120" s="13"/>
      <c r="AO120" s="13"/>
      <c r="AP120" s="17"/>
      <c r="AQ120" s="17"/>
      <c r="AR120" s="17"/>
      <c r="BD120" s="17"/>
      <c r="BE120" s="17"/>
      <c r="BF120" s="17"/>
      <c r="BG120" s="27"/>
      <c r="BH120" s="28"/>
      <c r="BI120" s="17"/>
      <c r="BJ120" s="17"/>
      <c r="BK120" s="17"/>
      <c r="BP120" s="13"/>
      <c r="BQ120" s="13"/>
      <c r="BR120" s="13"/>
      <c r="BS120" s="13"/>
      <c r="BT120" s="13"/>
      <c r="BU120" s="13"/>
      <c r="CD120" s="17"/>
      <c r="CE120" s="17"/>
      <c r="CF120" s="17"/>
      <c r="CG120" s="27"/>
      <c r="CH120" s="28"/>
      <c r="CI120" s="28"/>
      <c r="CJ120" s="28"/>
      <c r="CK120" s="29"/>
      <c r="CL120" s="3"/>
      <c r="CM120" s="13"/>
      <c r="CN120" s="13"/>
      <c r="CO120" s="13"/>
      <c r="CP120" s="13"/>
      <c r="CQ120" s="13"/>
      <c r="CR120" s="13"/>
      <c r="CS120" s="13"/>
      <c r="CT120" s="13"/>
      <c r="CU120" s="13"/>
    </row>
    <row r="121" spans="1:99" x14ac:dyDescent="0.4">
      <c r="A121" s="17"/>
      <c r="B121" s="17"/>
      <c r="C121" s="17"/>
      <c r="D121" s="20"/>
      <c r="E121" s="20"/>
      <c r="F121" s="20"/>
      <c r="G121" s="20"/>
      <c r="H121" s="29"/>
      <c r="I121" s="3"/>
      <c r="J121" s="13"/>
      <c r="K121" s="13"/>
      <c r="L121" s="13"/>
      <c r="M121" s="13"/>
      <c r="N121" s="13"/>
      <c r="O121" s="13"/>
      <c r="P121" s="13"/>
      <c r="Q121" s="13"/>
      <c r="R121" s="13"/>
      <c r="T121" s="17"/>
      <c r="U121" s="17"/>
      <c r="V121" s="17"/>
      <c r="W121" s="17"/>
      <c r="AC121" s="17"/>
      <c r="AD121" s="17"/>
      <c r="AE121" s="17"/>
      <c r="AF121" s="27"/>
      <c r="AG121" s="27"/>
      <c r="AH121" s="28"/>
      <c r="AI121" s="28"/>
      <c r="AJ121" s="28"/>
      <c r="AK121" s="29"/>
      <c r="AL121" s="3"/>
      <c r="AM121" s="13"/>
      <c r="AN121" s="13"/>
      <c r="AO121" s="13"/>
      <c r="AP121" s="17"/>
      <c r="AQ121" s="17"/>
      <c r="AR121" s="17"/>
      <c r="BD121" s="17"/>
      <c r="BE121" s="17"/>
      <c r="BF121" s="17"/>
      <c r="BG121" s="27"/>
      <c r="BH121" s="28"/>
      <c r="BI121" s="17"/>
      <c r="BJ121" s="17"/>
      <c r="BK121" s="17"/>
      <c r="BP121" s="13"/>
      <c r="BQ121" s="13"/>
      <c r="BR121" s="13"/>
      <c r="BS121" s="13"/>
      <c r="BT121" s="13"/>
      <c r="BU121" s="13"/>
      <c r="CD121" s="17"/>
      <c r="CE121" s="17"/>
      <c r="CF121" s="17"/>
      <c r="CG121" s="27"/>
      <c r="CH121" s="28"/>
      <c r="CI121" s="28"/>
      <c r="CJ121" s="28"/>
      <c r="CK121" s="29"/>
      <c r="CL121" s="3"/>
      <c r="CM121" s="13"/>
      <c r="CN121" s="13"/>
      <c r="CO121" s="13"/>
      <c r="CP121" s="13"/>
      <c r="CQ121" s="13"/>
      <c r="CR121" s="13"/>
      <c r="CS121" s="13"/>
      <c r="CT121" s="13"/>
      <c r="CU121" s="13"/>
    </row>
    <row r="122" spans="1:99" x14ac:dyDescent="0.4">
      <c r="A122" s="17"/>
      <c r="B122" s="17"/>
      <c r="C122" s="17"/>
      <c r="D122" s="20"/>
      <c r="E122" s="20"/>
      <c r="F122" s="20"/>
      <c r="G122" s="20"/>
      <c r="H122" s="29"/>
      <c r="I122" s="3"/>
      <c r="J122" s="13"/>
      <c r="K122" s="13"/>
      <c r="L122" s="13"/>
      <c r="M122" s="13"/>
      <c r="N122" s="13"/>
      <c r="O122" s="13"/>
      <c r="P122" s="13"/>
      <c r="Q122" s="13"/>
      <c r="R122" s="13"/>
      <c r="T122" s="17"/>
      <c r="U122" s="17"/>
      <c r="V122" s="17"/>
      <c r="W122" s="17"/>
      <c r="AC122" s="17"/>
      <c r="AD122" s="17"/>
      <c r="AE122" s="17"/>
      <c r="AF122" s="27"/>
      <c r="AG122" s="27"/>
      <c r="AH122" s="28"/>
      <c r="AI122" s="28"/>
      <c r="AJ122" s="28"/>
      <c r="AK122" s="29"/>
      <c r="AL122" s="3"/>
      <c r="AM122" s="13"/>
      <c r="AN122" s="13"/>
      <c r="AO122" s="13"/>
      <c r="AP122" s="17"/>
      <c r="AQ122" s="17"/>
      <c r="AR122" s="17"/>
      <c r="BD122" s="17"/>
      <c r="BE122" s="17"/>
      <c r="BF122" s="17"/>
      <c r="BG122" s="27"/>
      <c r="BH122" s="28"/>
      <c r="BI122" s="17"/>
      <c r="BJ122" s="17"/>
      <c r="BK122" s="17"/>
      <c r="BP122" s="13"/>
      <c r="BQ122" s="13"/>
      <c r="BR122" s="13"/>
      <c r="BS122" s="13"/>
      <c r="BT122" s="13"/>
      <c r="BU122" s="13"/>
      <c r="CD122" s="17"/>
      <c r="CE122" s="17"/>
      <c r="CF122" s="17"/>
      <c r="CG122" s="27"/>
      <c r="CH122" s="28"/>
      <c r="CI122" s="28"/>
      <c r="CJ122" s="28"/>
      <c r="CK122" s="29"/>
      <c r="CL122" s="3"/>
      <c r="CM122" s="13"/>
      <c r="CN122" s="13"/>
      <c r="CO122" s="13"/>
      <c r="CP122" s="13"/>
      <c r="CQ122" s="13"/>
      <c r="CR122" s="13"/>
      <c r="CS122" s="13"/>
      <c r="CT122" s="13"/>
      <c r="CU122" s="13"/>
    </row>
    <row r="123" spans="1:99" x14ac:dyDescent="0.4">
      <c r="A123" s="17"/>
      <c r="B123" s="17"/>
      <c r="C123" s="17"/>
      <c r="D123" s="20"/>
      <c r="E123" s="20"/>
      <c r="F123" s="20"/>
      <c r="G123" s="20"/>
      <c r="H123" s="29"/>
      <c r="I123" s="3"/>
      <c r="J123" s="13"/>
      <c r="K123" s="13"/>
      <c r="L123" s="13"/>
      <c r="M123" s="13"/>
      <c r="N123" s="13"/>
      <c r="O123" s="13"/>
      <c r="P123" s="13"/>
      <c r="Q123" s="13"/>
      <c r="R123" s="13"/>
      <c r="T123" s="17"/>
      <c r="U123" s="17"/>
      <c r="V123" s="17"/>
      <c r="W123" s="17"/>
      <c r="AC123" s="17"/>
      <c r="AD123" s="17"/>
      <c r="AE123" s="17"/>
      <c r="AF123" s="27"/>
      <c r="AG123" s="27"/>
      <c r="AH123" s="28"/>
      <c r="AI123" s="28"/>
      <c r="AJ123" s="28"/>
      <c r="AK123" s="29"/>
      <c r="AL123" s="3"/>
      <c r="AM123" s="13"/>
      <c r="AN123" s="13"/>
      <c r="AO123" s="13"/>
      <c r="AP123" s="17"/>
      <c r="AQ123" s="17"/>
      <c r="AR123" s="17"/>
      <c r="BD123" s="17"/>
      <c r="BE123" s="17"/>
      <c r="BF123" s="17"/>
      <c r="BG123" s="27"/>
      <c r="BH123" s="28"/>
      <c r="BI123" s="17"/>
      <c r="BJ123" s="17"/>
      <c r="BK123" s="17"/>
      <c r="BP123" s="13"/>
      <c r="BQ123" s="13"/>
      <c r="BR123" s="13"/>
      <c r="BS123" s="13"/>
      <c r="BT123" s="13"/>
      <c r="BU123" s="13"/>
      <c r="CD123" s="17"/>
      <c r="CE123" s="17"/>
      <c r="CF123" s="17"/>
      <c r="CG123" s="27"/>
      <c r="CH123" s="28"/>
      <c r="CI123" s="28"/>
      <c r="CJ123" s="28"/>
      <c r="CK123" s="29"/>
      <c r="CL123" s="3"/>
      <c r="CM123" s="13"/>
      <c r="CN123" s="13"/>
      <c r="CO123" s="13"/>
      <c r="CP123" s="13"/>
      <c r="CQ123" s="13"/>
      <c r="CR123" s="13"/>
      <c r="CS123" s="13"/>
      <c r="CT123" s="13"/>
      <c r="CU123" s="13"/>
    </row>
    <row r="124" spans="1:99" x14ac:dyDescent="0.4">
      <c r="A124" s="17"/>
      <c r="B124" s="17"/>
      <c r="C124" s="17"/>
      <c r="D124" s="20"/>
      <c r="E124" s="20"/>
      <c r="F124" s="20"/>
      <c r="G124" s="20"/>
      <c r="H124" s="29"/>
      <c r="I124" s="3"/>
      <c r="J124" s="13"/>
      <c r="K124" s="13"/>
      <c r="L124" s="13"/>
      <c r="M124" s="13"/>
      <c r="N124" s="13"/>
      <c r="O124" s="13"/>
      <c r="P124" s="13"/>
      <c r="Q124" s="13"/>
      <c r="R124" s="13"/>
      <c r="T124" s="17"/>
      <c r="U124" s="17"/>
      <c r="V124" s="17"/>
      <c r="W124" s="17"/>
      <c r="AC124" s="17"/>
      <c r="AD124" s="17"/>
      <c r="AE124" s="17"/>
      <c r="AF124" s="27"/>
      <c r="AG124" s="27"/>
      <c r="AH124" s="28"/>
      <c r="AI124" s="28"/>
      <c r="AJ124" s="28"/>
      <c r="AK124" s="29"/>
      <c r="AL124" s="3"/>
      <c r="AM124" s="13"/>
      <c r="AN124" s="13"/>
      <c r="AO124" s="13"/>
      <c r="AP124" s="17"/>
      <c r="AQ124" s="17"/>
      <c r="AR124" s="17"/>
      <c r="BD124" s="17"/>
      <c r="BE124" s="17"/>
      <c r="BF124" s="17"/>
      <c r="BG124" s="27"/>
      <c r="BH124" s="28"/>
      <c r="BI124" s="17"/>
      <c r="BJ124" s="17"/>
      <c r="BK124" s="17"/>
      <c r="BP124" s="13"/>
      <c r="BQ124" s="13"/>
      <c r="BR124" s="13"/>
      <c r="BS124" s="13"/>
      <c r="BT124" s="13"/>
      <c r="BU124" s="13"/>
      <c r="CD124" s="17"/>
      <c r="CE124" s="17"/>
      <c r="CF124" s="17"/>
      <c r="CG124" s="27"/>
      <c r="CH124" s="28"/>
      <c r="CI124" s="28"/>
      <c r="CJ124" s="28"/>
      <c r="CK124" s="29"/>
      <c r="CL124" s="3"/>
      <c r="CM124" s="13"/>
      <c r="CN124" s="13"/>
      <c r="CO124" s="13"/>
      <c r="CP124" s="13"/>
      <c r="CQ124" s="13"/>
      <c r="CR124" s="13"/>
      <c r="CS124" s="13"/>
      <c r="CT124" s="13"/>
      <c r="CU124" s="13"/>
    </row>
    <row r="125" spans="1:99" x14ac:dyDescent="0.4">
      <c r="A125" s="17"/>
      <c r="B125" s="17"/>
      <c r="C125" s="17"/>
      <c r="D125" s="20"/>
      <c r="E125" s="20"/>
      <c r="F125" s="20"/>
      <c r="G125" s="20"/>
      <c r="H125" s="29"/>
      <c r="I125" s="3"/>
      <c r="J125" s="13"/>
      <c r="K125" s="13"/>
      <c r="L125" s="13"/>
      <c r="M125" s="13"/>
      <c r="N125" s="13"/>
      <c r="O125" s="13"/>
      <c r="P125" s="13"/>
      <c r="Q125" s="13"/>
      <c r="R125" s="13"/>
      <c r="T125" s="17"/>
      <c r="U125" s="17"/>
      <c r="V125" s="17"/>
      <c r="W125" s="17"/>
      <c r="AC125" s="17"/>
      <c r="AD125" s="17"/>
      <c r="AE125" s="17"/>
      <c r="AF125" s="27"/>
      <c r="AG125" s="27"/>
      <c r="AH125" s="28"/>
      <c r="AI125" s="28"/>
      <c r="AJ125" s="28"/>
      <c r="AK125" s="29"/>
      <c r="AL125" s="3"/>
      <c r="AM125" s="13"/>
      <c r="AN125" s="13"/>
      <c r="AO125" s="13"/>
      <c r="AP125" s="17"/>
      <c r="AQ125" s="17"/>
      <c r="AR125" s="17"/>
      <c r="BD125" s="17"/>
      <c r="BE125" s="17"/>
      <c r="BF125" s="17"/>
      <c r="BG125" s="27"/>
      <c r="BH125" s="28"/>
      <c r="BI125" s="17"/>
      <c r="BJ125" s="17"/>
      <c r="BK125" s="17"/>
      <c r="BP125" s="13"/>
      <c r="BQ125" s="13"/>
      <c r="BR125" s="13"/>
      <c r="BS125" s="13"/>
      <c r="BT125" s="13"/>
      <c r="BU125" s="13"/>
      <c r="CD125" s="17"/>
      <c r="CE125" s="17"/>
      <c r="CF125" s="17"/>
      <c r="CG125" s="27"/>
      <c r="CH125" s="28"/>
      <c r="CI125" s="28"/>
      <c r="CJ125" s="28"/>
      <c r="CK125" s="29"/>
      <c r="CL125" s="3"/>
      <c r="CM125" s="13"/>
      <c r="CN125" s="13"/>
      <c r="CO125" s="13"/>
      <c r="CP125" s="13"/>
      <c r="CQ125" s="13"/>
      <c r="CR125" s="13"/>
      <c r="CS125" s="13"/>
      <c r="CT125" s="13"/>
      <c r="CU125" s="13"/>
    </row>
    <row r="126" spans="1:99" x14ac:dyDescent="0.4">
      <c r="A126" s="17"/>
      <c r="B126" s="17"/>
      <c r="C126" s="17"/>
      <c r="D126" s="20"/>
      <c r="E126" s="20"/>
      <c r="F126" s="20"/>
      <c r="G126" s="20"/>
      <c r="H126" s="29"/>
      <c r="I126" s="3"/>
      <c r="J126" s="13"/>
      <c r="K126" s="13"/>
      <c r="L126" s="13"/>
      <c r="M126" s="13"/>
      <c r="N126" s="13"/>
      <c r="O126" s="13"/>
      <c r="P126" s="13"/>
      <c r="Q126" s="13"/>
      <c r="R126" s="13"/>
      <c r="T126" s="17"/>
      <c r="U126" s="17"/>
      <c r="V126" s="17"/>
      <c r="W126" s="17"/>
      <c r="AC126" s="17"/>
      <c r="AD126" s="17"/>
      <c r="AE126" s="17"/>
      <c r="AF126" s="27"/>
      <c r="AG126" s="27"/>
      <c r="AH126" s="28"/>
      <c r="AI126" s="28"/>
      <c r="AJ126" s="28"/>
      <c r="AK126" s="29"/>
      <c r="AL126" s="3"/>
      <c r="AM126" s="13"/>
      <c r="AN126" s="13"/>
      <c r="AO126" s="13"/>
      <c r="AP126" s="17"/>
      <c r="AQ126" s="17"/>
      <c r="AR126" s="17"/>
      <c r="BD126" s="17"/>
      <c r="BE126" s="17"/>
      <c r="BF126" s="17"/>
      <c r="BG126" s="27"/>
      <c r="BH126" s="28"/>
      <c r="BI126" s="17"/>
      <c r="BJ126" s="17"/>
      <c r="BK126" s="17"/>
      <c r="BP126" s="13"/>
      <c r="BQ126" s="13"/>
      <c r="BR126" s="13"/>
      <c r="BS126" s="13"/>
      <c r="BT126" s="13"/>
      <c r="BU126" s="13"/>
      <c r="CD126" s="17"/>
      <c r="CE126" s="17"/>
      <c r="CF126" s="17"/>
      <c r="CG126" s="27"/>
      <c r="CH126" s="28"/>
      <c r="CI126" s="28"/>
      <c r="CJ126" s="28"/>
      <c r="CK126" s="29"/>
      <c r="CL126" s="3"/>
      <c r="CM126" s="13"/>
      <c r="CN126" s="13"/>
      <c r="CO126" s="13"/>
      <c r="CP126" s="13"/>
      <c r="CQ126" s="13"/>
      <c r="CR126" s="13"/>
      <c r="CS126" s="13"/>
      <c r="CT126" s="13"/>
      <c r="CU126" s="13"/>
    </row>
    <row r="127" spans="1:99" x14ac:dyDescent="0.4">
      <c r="A127" s="17"/>
      <c r="B127" s="17"/>
      <c r="C127" s="17"/>
      <c r="D127" s="20"/>
      <c r="E127" s="20"/>
      <c r="F127" s="20"/>
      <c r="G127" s="20"/>
      <c r="H127" s="29"/>
      <c r="I127" s="3"/>
      <c r="J127" s="13"/>
      <c r="K127" s="13"/>
      <c r="L127" s="13"/>
      <c r="M127" s="13"/>
      <c r="N127" s="13"/>
      <c r="O127" s="13"/>
      <c r="P127" s="13"/>
      <c r="Q127" s="13"/>
      <c r="R127" s="13"/>
      <c r="T127" s="17"/>
      <c r="U127" s="17"/>
      <c r="V127" s="17"/>
      <c r="W127" s="17"/>
      <c r="AC127" s="17"/>
      <c r="AD127" s="17"/>
      <c r="AE127" s="17"/>
      <c r="AF127" s="27"/>
      <c r="AG127" s="27"/>
      <c r="AH127" s="28"/>
      <c r="AI127" s="28"/>
      <c r="AJ127" s="28"/>
      <c r="AK127" s="29"/>
      <c r="AL127" s="3"/>
      <c r="AM127" s="13"/>
      <c r="AN127" s="13"/>
      <c r="AO127" s="13"/>
      <c r="AP127" s="17"/>
      <c r="AQ127" s="17"/>
      <c r="AR127" s="17"/>
      <c r="BD127" s="17"/>
      <c r="BE127" s="17"/>
      <c r="BF127" s="17"/>
      <c r="BG127" s="27"/>
      <c r="BH127" s="28"/>
      <c r="BI127" s="17"/>
      <c r="BJ127" s="17"/>
      <c r="BK127" s="17"/>
      <c r="BP127" s="13"/>
      <c r="BQ127" s="13"/>
      <c r="BR127" s="13"/>
      <c r="BS127" s="13"/>
      <c r="BT127" s="13"/>
      <c r="BU127" s="13"/>
      <c r="CD127" s="17"/>
      <c r="CE127" s="17"/>
      <c r="CF127" s="17"/>
      <c r="CG127" s="27"/>
      <c r="CH127" s="28"/>
      <c r="CI127" s="28"/>
      <c r="CJ127" s="28"/>
      <c r="CK127" s="29"/>
      <c r="CL127" s="3"/>
      <c r="CM127" s="13"/>
      <c r="CN127" s="13"/>
      <c r="CO127" s="13"/>
      <c r="CP127" s="13"/>
      <c r="CQ127" s="13"/>
      <c r="CR127" s="13"/>
      <c r="CS127" s="13"/>
      <c r="CT127" s="13"/>
      <c r="CU127" s="13"/>
    </row>
    <row r="128" spans="1:99" x14ac:dyDescent="0.4">
      <c r="N128" s="13"/>
      <c r="O128" s="13"/>
      <c r="P128" s="13"/>
    </row>
    <row r="129" spans="14:16" x14ac:dyDescent="0.4">
      <c r="N129" s="13"/>
      <c r="O129" s="13"/>
      <c r="P129" s="13"/>
    </row>
  </sheetData>
  <mergeCells count="3">
    <mergeCell ref="A2:A7"/>
    <mergeCell ref="I9:L9"/>
    <mergeCell ref="C9:G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DM141"/>
  <sheetViews>
    <sheetView zoomScaleNormal="100" workbookViewId="0">
      <pane xSplit="2" ySplit="3" topLeftCell="T4" activePane="bottomRight" state="frozen"/>
      <selection pane="topRight" activeCell="C1" sqref="C1"/>
      <selection pane="bottomLeft" activeCell="A4" sqref="A4"/>
      <selection pane="bottomRight" activeCell="AF8" sqref="AF8"/>
    </sheetView>
  </sheetViews>
  <sheetFormatPr defaultColWidth="8.86328125" defaultRowHeight="13.9" x14ac:dyDescent="0.4"/>
  <cols>
    <col min="2" max="2" width="10.1328125" customWidth="1"/>
    <col min="3" max="3" width="9.46484375" bestFit="1" customWidth="1"/>
    <col min="4" max="4" width="7.796875" customWidth="1"/>
    <col min="5" max="5" width="8.9296875" bestFit="1" customWidth="1"/>
    <col min="6" max="6" width="9.46484375" bestFit="1" customWidth="1"/>
    <col min="7" max="7" width="8.9296875" bestFit="1" customWidth="1"/>
    <col min="8" max="8" width="9.53125" bestFit="1" customWidth="1"/>
    <col min="9" max="9" width="8.9296875" bestFit="1" customWidth="1"/>
    <col min="10" max="10" width="9.46484375" bestFit="1" customWidth="1"/>
    <col min="11" max="11" width="8.9296875" bestFit="1" customWidth="1"/>
    <col min="12" max="12" width="9.46484375" bestFit="1" customWidth="1"/>
    <col min="13" max="13" width="9.53125" customWidth="1"/>
    <col min="14" max="14" width="10" customWidth="1"/>
    <col min="15" max="15" width="10.9296875" bestFit="1" customWidth="1"/>
    <col min="16" max="16" width="10.53125" bestFit="1" customWidth="1"/>
    <col min="17" max="18" width="8.9296875" bestFit="1" customWidth="1"/>
    <col min="19" max="19" width="9.796875" customWidth="1"/>
    <col min="20" max="20" width="10.06640625" bestFit="1" customWidth="1"/>
    <col min="21" max="21" width="10" bestFit="1" customWidth="1"/>
    <col min="22" max="23" width="9.86328125" bestFit="1" customWidth="1"/>
    <col min="34" max="34" width="9.796875" customWidth="1"/>
    <col min="41" max="41" width="9" bestFit="1" customWidth="1"/>
    <col min="58" max="58" width="11" bestFit="1" customWidth="1"/>
    <col min="59" max="59" width="10.1328125" bestFit="1" customWidth="1"/>
    <col min="60" max="61" width="11" bestFit="1" customWidth="1"/>
    <col min="62" max="62" width="9.86328125" bestFit="1" customWidth="1"/>
    <col min="63" max="63" width="11.1328125" bestFit="1" customWidth="1"/>
    <col min="64" max="64" width="10.1328125" bestFit="1" customWidth="1"/>
    <col min="65" max="66" width="11" bestFit="1" customWidth="1"/>
    <col min="71" max="71" width="11" bestFit="1" customWidth="1"/>
    <col min="72" max="72" width="10.1328125" bestFit="1" customWidth="1"/>
    <col min="73" max="76" width="11" bestFit="1" customWidth="1"/>
    <col min="77" max="78" width="9.86328125" bestFit="1" customWidth="1"/>
    <col min="79" max="79" width="11" bestFit="1" customWidth="1"/>
    <col min="84" max="84" width="11" bestFit="1" customWidth="1"/>
    <col min="85" max="85" width="10.1328125" bestFit="1" customWidth="1"/>
    <col min="86" max="89" width="11" bestFit="1" customWidth="1"/>
    <col min="90" max="91" width="9.86328125" bestFit="1" customWidth="1"/>
    <col min="92" max="92" width="11" bestFit="1" customWidth="1"/>
    <col min="97" max="97" width="11" bestFit="1" customWidth="1"/>
    <col min="98" max="98" width="10.1328125" bestFit="1" customWidth="1"/>
    <col min="99" max="102" width="11" bestFit="1" customWidth="1"/>
    <col min="103" max="103" width="9.86328125" bestFit="1" customWidth="1"/>
    <col min="104" max="105" width="11" bestFit="1" customWidth="1"/>
  </cols>
  <sheetData>
    <row r="1" spans="1:117" x14ac:dyDescent="0.4">
      <c r="A1" s="14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Y1" s="14">
        <v>20</v>
      </c>
      <c r="Z1" s="14">
        <v>21</v>
      </c>
      <c r="AA1" s="14">
        <v>22</v>
      </c>
      <c r="AB1" s="14">
        <v>23</v>
      </c>
      <c r="AC1" s="14">
        <v>24</v>
      </c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</row>
    <row r="2" spans="1:117" x14ac:dyDescent="0.4">
      <c r="A2" s="14"/>
      <c r="B2" s="14"/>
      <c r="C2" s="14"/>
      <c r="D2" s="14"/>
      <c r="E2" s="135" t="s">
        <v>13</v>
      </c>
      <c r="F2" s="135"/>
      <c r="G2" s="135"/>
      <c r="H2" s="135" t="s">
        <v>18</v>
      </c>
      <c r="I2" s="135"/>
      <c r="J2" s="135"/>
      <c r="K2" s="15" t="s">
        <v>14</v>
      </c>
      <c r="L2" s="135" t="s">
        <v>15</v>
      </c>
      <c r="M2" s="135"/>
      <c r="N2" s="14"/>
      <c r="O2" s="30" t="s">
        <v>7</v>
      </c>
      <c r="P2" s="30" t="s">
        <v>69</v>
      </c>
      <c r="Q2" s="135" t="s">
        <v>96</v>
      </c>
      <c r="R2" s="135"/>
      <c r="S2" s="135"/>
      <c r="T2" s="135"/>
      <c r="U2" s="134" t="s">
        <v>70</v>
      </c>
      <c r="V2" s="134"/>
      <c r="W2" s="134"/>
      <c r="X2" s="134"/>
      <c r="Y2" s="135" t="s">
        <v>95</v>
      </c>
      <c r="Z2" s="135"/>
      <c r="AA2" s="135"/>
      <c r="AB2" s="135"/>
      <c r="AC2" s="135"/>
      <c r="AD2" s="135" t="s">
        <v>99</v>
      </c>
      <c r="AE2" s="135"/>
      <c r="AF2" s="135"/>
      <c r="AG2" s="135"/>
      <c r="AH2" s="135"/>
      <c r="AI2" s="135"/>
      <c r="AJ2" s="135"/>
      <c r="AK2" s="135"/>
      <c r="AQ2" s="16"/>
      <c r="AR2" s="16"/>
      <c r="AS2" s="16"/>
      <c r="AT2" s="16"/>
      <c r="AW2" s="46"/>
      <c r="AX2" s="46"/>
      <c r="AY2" s="46"/>
      <c r="AZ2" s="46"/>
      <c r="BA2" s="46"/>
      <c r="BB2" s="46"/>
    </row>
    <row r="3" spans="1:117" ht="15.4" x14ac:dyDescent="0.55000000000000004">
      <c r="A3" s="14" t="s">
        <v>12</v>
      </c>
      <c r="B3" s="52" t="s">
        <v>73</v>
      </c>
      <c r="C3" s="92" t="s">
        <v>93</v>
      </c>
      <c r="D3" s="92" t="s">
        <v>94</v>
      </c>
      <c r="E3" s="4" t="s">
        <v>51</v>
      </c>
      <c r="F3" s="4" t="s">
        <v>17</v>
      </c>
      <c r="G3" s="4" t="s">
        <v>2</v>
      </c>
      <c r="H3" s="4" t="s">
        <v>98</v>
      </c>
      <c r="I3" s="4" t="s">
        <v>59</v>
      </c>
      <c r="J3" s="4" t="s">
        <v>60</v>
      </c>
      <c r="K3" s="4" t="s">
        <v>3</v>
      </c>
      <c r="L3" s="4" t="s">
        <v>4</v>
      </c>
      <c r="M3" s="4" t="s">
        <v>5</v>
      </c>
      <c r="N3" s="4" t="s">
        <v>78</v>
      </c>
      <c r="O3" s="4" t="s">
        <v>6</v>
      </c>
      <c r="P3" s="93" t="s">
        <v>49</v>
      </c>
      <c r="Q3" s="97" t="s">
        <v>61</v>
      </c>
      <c r="R3" s="4" t="s">
        <v>62</v>
      </c>
      <c r="S3" s="4" t="s">
        <v>64</v>
      </c>
      <c r="T3" s="4" t="s">
        <v>63</v>
      </c>
      <c r="U3" s="47" t="s">
        <v>50</v>
      </c>
      <c r="V3" s="47" t="s">
        <v>16</v>
      </c>
      <c r="W3" s="47" t="s">
        <v>74</v>
      </c>
      <c r="X3" s="47" t="s">
        <v>97</v>
      </c>
      <c r="Y3" s="48" t="s">
        <v>79</v>
      </c>
      <c r="Z3" s="48" t="s">
        <v>83</v>
      </c>
      <c r="AA3" s="48" t="s">
        <v>80</v>
      </c>
      <c r="AB3" s="48" t="s">
        <v>82</v>
      </c>
      <c r="AC3" s="48" t="s">
        <v>81</v>
      </c>
      <c r="AD3" s="47" t="s">
        <v>100</v>
      </c>
      <c r="AE3" s="47" t="s">
        <v>101</v>
      </c>
      <c r="AF3" s="47" t="s">
        <v>102</v>
      </c>
      <c r="AG3" s="47" t="s">
        <v>103</v>
      </c>
      <c r="AH3" s="47" t="s">
        <v>104</v>
      </c>
      <c r="AI3" s="47" t="s">
        <v>105</v>
      </c>
      <c r="AJ3" s="47" t="s">
        <v>106</v>
      </c>
      <c r="AK3" s="47" t="s">
        <v>107</v>
      </c>
      <c r="AL3" s="47"/>
      <c r="AM3" s="47"/>
      <c r="AN3" s="47"/>
      <c r="AO3" s="47"/>
      <c r="AP3" s="47"/>
      <c r="AQ3" s="47"/>
      <c r="AR3" s="12"/>
      <c r="AS3" s="32"/>
      <c r="AT3" s="12"/>
      <c r="AU3" s="32"/>
      <c r="AX3" s="48"/>
      <c r="AY3" s="4"/>
      <c r="AZ3" s="4"/>
      <c r="BA3" s="51"/>
      <c r="BB3" s="11"/>
      <c r="BC3" s="11"/>
      <c r="BO3" s="15"/>
      <c r="BP3" s="15"/>
      <c r="BQ3" s="15"/>
      <c r="BR3" s="15"/>
      <c r="BT3" s="15"/>
      <c r="BU3" s="14"/>
      <c r="BV3" s="14"/>
      <c r="CA3" s="15"/>
      <c r="CB3" s="15"/>
      <c r="CC3" s="15"/>
      <c r="CD3" s="15"/>
      <c r="CE3" s="15"/>
      <c r="CF3" s="11"/>
      <c r="CM3" s="11"/>
      <c r="CS3" s="14"/>
      <c r="CT3" s="11"/>
      <c r="DA3" s="15"/>
      <c r="DB3" s="15"/>
      <c r="DC3" s="15"/>
      <c r="DD3" s="15"/>
      <c r="DE3" s="15"/>
      <c r="DF3" s="14"/>
      <c r="DG3" s="15"/>
      <c r="DH3" s="14"/>
      <c r="DI3" s="14"/>
      <c r="DK3" s="14"/>
      <c r="DM3" s="4"/>
    </row>
    <row r="4" spans="1:117" ht="15.4" x14ac:dyDescent="0.55000000000000004">
      <c r="A4">
        <v>1</v>
      </c>
      <c r="B4" s="49">
        <v>5.0000000000000001E-3</v>
      </c>
      <c r="C4" s="12">
        <v>-3.4779200000000001</v>
      </c>
      <c r="D4" s="12">
        <v>0.95</v>
      </c>
      <c r="E4" s="12">
        <v>1.7432700000000001</v>
      </c>
      <c r="F4" s="12">
        <v>0.2205</v>
      </c>
      <c r="G4" s="118">
        <v>0.2</v>
      </c>
      <c r="H4" s="12">
        <v>0</v>
      </c>
      <c r="I4" s="12">
        <v>0.23680000000000001</v>
      </c>
      <c r="J4" s="12">
        <v>-2.5080000000000002E-2</v>
      </c>
      <c r="K4" s="12">
        <v>3.3840000000000002E-2</v>
      </c>
      <c r="L4" s="12">
        <v>-1.7473099999999999</v>
      </c>
      <c r="M4" s="12">
        <v>2.2656399999999999</v>
      </c>
      <c r="N4" s="12">
        <v>-0.67405000000000004</v>
      </c>
      <c r="O4" s="12">
        <v>-6.7799999999999996E-3</v>
      </c>
      <c r="P4" s="12">
        <v>-16.187339999999999</v>
      </c>
      <c r="Q4" s="12">
        <v>1.2649087687328917</v>
      </c>
      <c r="R4" s="12">
        <v>0.30497000000000002</v>
      </c>
      <c r="S4" s="12">
        <v>0.49020999999999998</v>
      </c>
      <c r="T4" s="12">
        <v>0.50417000000000001</v>
      </c>
      <c r="U4">
        <v>0.627</v>
      </c>
      <c r="V4">
        <v>0.36799999999999999</v>
      </c>
      <c r="W4">
        <v>0.72699999999999998</v>
      </c>
      <c r="X4">
        <v>0.35599999999999998</v>
      </c>
      <c r="Y4" s="33">
        <v>0.1</v>
      </c>
      <c r="Z4" s="33">
        <v>0</v>
      </c>
      <c r="AA4" s="33">
        <v>-6.4246555856870155E-2</v>
      </c>
      <c r="AB4" s="33">
        <v>-0.22473583956582646</v>
      </c>
      <c r="AC4" s="33">
        <v>-0.43152333691872391</v>
      </c>
      <c r="AD4">
        <v>0.47</v>
      </c>
      <c r="AE4">
        <v>0.49</v>
      </c>
      <c r="AF4">
        <v>0.33900000000000002</v>
      </c>
      <c r="AG4">
        <v>0.50700000000000001</v>
      </c>
      <c r="AH4">
        <v>0.34699999999999998</v>
      </c>
      <c r="AI4">
        <v>0.46800000000000003</v>
      </c>
      <c r="AJ4">
        <v>0.20599999999999999</v>
      </c>
      <c r="AK4">
        <v>0.503</v>
      </c>
      <c r="AM4" s="3"/>
      <c r="AN4" s="3"/>
      <c r="AO4" s="32"/>
      <c r="AP4" s="3"/>
      <c r="AR4" s="3"/>
      <c r="AS4" s="3"/>
      <c r="AT4" s="3"/>
      <c r="AU4" s="3"/>
      <c r="AX4" s="33"/>
      <c r="AY4" s="49"/>
      <c r="AZ4" s="33"/>
      <c r="BA4" s="33"/>
      <c r="BB4" s="33"/>
      <c r="BC4" s="33"/>
      <c r="BO4" s="13"/>
      <c r="BP4" s="42"/>
      <c r="BQ4" s="42"/>
      <c r="BS4" s="3"/>
      <c r="BT4" s="42"/>
      <c r="BU4" s="42"/>
      <c r="BV4" s="42"/>
      <c r="BW4" s="3"/>
      <c r="BX4" s="3"/>
      <c r="BY4" s="3"/>
      <c r="BZ4" s="3"/>
      <c r="CA4" s="42"/>
      <c r="CB4" s="42"/>
      <c r="CC4" s="42"/>
      <c r="CD4" s="42"/>
      <c r="CE4" s="42"/>
      <c r="CF4" s="56"/>
      <c r="CJ4" s="32"/>
      <c r="CK4" s="32"/>
      <c r="CL4" s="3"/>
      <c r="CM4" s="3"/>
      <c r="CQ4" s="32"/>
      <c r="CR4" s="32"/>
      <c r="CS4" s="42"/>
      <c r="CT4" s="3"/>
      <c r="CX4" s="32"/>
      <c r="CY4" s="32"/>
      <c r="CZ4" s="43"/>
      <c r="DA4" s="42"/>
      <c r="DB4" s="42"/>
      <c r="DC4" s="42"/>
      <c r="DD4" s="42"/>
      <c r="DE4" s="42"/>
      <c r="DF4" s="42"/>
      <c r="DG4" s="42"/>
      <c r="DH4" s="42"/>
      <c r="DI4" s="42"/>
      <c r="DK4" s="13"/>
      <c r="DM4" s="3"/>
    </row>
    <row r="5" spans="1:117" ht="15.4" x14ac:dyDescent="0.55000000000000004">
      <c r="A5">
        <v>2</v>
      </c>
      <c r="B5" s="49">
        <v>0.01</v>
      </c>
      <c r="C5" s="12">
        <v>-3.5330699999999999</v>
      </c>
      <c r="D5" s="12">
        <v>0.95</v>
      </c>
      <c r="E5" s="12">
        <v>1.75962</v>
      </c>
      <c r="F5" s="12">
        <v>0.22202</v>
      </c>
      <c r="G5" s="118">
        <v>0.2</v>
      </c>
      <c r="H5" s="12">
        <v>0</v>
      </c>
      <c r="I5" s="12">
        <v>0.23616000000000001</v>
      </c>
      <c r="J5" s="12">
        <v>-2.596E-2</v>
      </c>
      <c r="K5" s="12">
        <v>3.5580000000000001E-2</v>
      </c>
      <c r="L5" s="12">
        <v>-1.73597</v>
      </c>
      <c r="M5" s="12">
        <v>2.2414900000000002</v>
      </c>
      <c r="N5" s="12">
        <v>-0.67769999999999997</v>
      </c>
      <c r="O5" s="12">
        <v>-6.7299999999999999E-3</v>
      </c>
      <c r="P5" s="12">
        <v>-16.205909999999999</v>
      </c>
      <c r="Q5" s="12">
        <v>1.2649087687328917</v>
      </c>
      <c r="R5" s="12">
        <v>0.30471999999999999</v>
      </c>
      <c r="S5" s="12">
        <v>0.49</v>
      </c>
      <c r="T5" s="12">
        <v>0.50438000000000005</v>
      </c>
      <c r="U5">
        <v>0.626</v>
      </c>
      <c r="V5">
        <v>0.36799999999999999</v>
      </c>
      <c r="W5">
        <v>0.72699999999999998</v>
      </c>
      <c r="X5">
        <v>0.35599999999999998</v>
      </c>
      <c r="Y5" s="33">
        <v>0.1</v>
      </c>
      <c r="Z5" s="33">
        <v>0</v>
      </c>
      <c r="AA5" s="33">
        <v>-6.3920330486732596E-2</v>
      </c>
      <c r="AB5" s="33">
        <v>-0.22377171687603681</v>
      </c>
      <c r="AC5" s="33">
        <v>-0.42989363320361668</v>
      </c>
      <c r="AD5">
        <v>0.47</v>
      </c>
      <c r="AE5">
        <v>0.49</v>
      </c>
      <c r="AF5">
        <v>0.33900000000000002</v>
      </c>
      <c r="AG5">
        <v>0.50600000000000001</v>
      </c>
      <c r="AH5">
        <v>0.34699999999999998</v>
      </c>
      <c r="AI5">
        <v>0.46800000000000003</v>
      </c>
      <c r="AJ5">
        <v>0.20599999999999999</v>
      </c>
      <c r="AK5">
        <v>0.502</v>
      </c>
      <c r="AM5" s="3"/>
      <c r="AN5" s="3"/>
      <c r="AO5" s="32"/>
      <c r="AP5" s="3"/>
      <c r="AR5" s="3"/>
      <c r="AS5" s="3"/>
      <c r="AT5" s="3"/>
      <c r="AU5" s="3"/>
      <c r="AX5" s="33"/>
      <c r="AY5" s="49"/>
      <c r="AZ5" s="33"/>
      <c r="BA5" s="33"/>
      <c r="BB5" s="33"/>
      <c r="BC5" s="33"/>
      <c r="BO5" s="13"/>
      <c r="BP5" s="42"/>
      <c r="BQ5" s="42"/>
      <c r="BS5" s="3"/>
      <c r="BT5" s="42"/>
      <c r="BU5" s="42"/>
      <c r="BV5" s="42"/>
      <c r="BW5" s="3"/>
      <c r="BX5" s="3"/>
      <c r="BY5" s="3"/>
      <c r="BZ5" s="3"/>
      <c r="CA5" s="42"/>
      <c r="CB5" s="42"/>
      <c r="CC5" s="42"/>
      <c r="CD5" s="42"/>
      <c r="CE5" s="42"/>
      <c r="CF5" s="56"/>
      <c r="CJ5" s="32"/>
      <c r="CK5" s="32"/>
      <c r="CL5" s="3"/>
      <c r="CM5" s="3"/>
      <c r="CQ5" s="32"/>
      <c r="CR5" s="32"/>
      <c r="CS5" s="42"/>
      <c r="CT5" s="3"/>
      <c r="CX5" s="32"/>
      <c r="CY5" s="32"/>
      <c r="CZ5" s="43"/>
      <c r="DA5" s="42"/>
      <c r="DB5" s="42"/>
      <c r="DC5" s="42"/>
      <c r="DD5" s="42"/>
      <c r="DE5" s="42"/>
      <c r="DF5" s="42"/>
      <c r="DG5" s="42"/>
      <c r="DH5" s="42"/>
      <c r="DI5" s="42"/>
      <c r="DK5" s="13"/>
      <c r="DM5" s="3"/>
    </row>
    <row r="6" spans="1:117" ht="15.4" x14ac:dyDescent="0.55000000000000004">
      <c r="A6">
        <v>3</v>
      </c>
      <c r="B6" s="49">
        <v>0.02</v>
      </c>
      <c r="C6" s="12">
        <v>-3.5781200000000002</v>
      </c>
      <c r="D6" s="12">
        <v>0.95</v>
      </c>
      <c r="E6" s="12">
        <v>1.79514</v>
      </c>
      <c r="F6" s="12">
        <v>0.23977000000000001</v>
      </c>
      <c r="G6" s="118">
        <v>0.2</v>
      </c>
      <c r="H6" s="12">
        <v>0</v>
      </c>
      <c r="I6" s="12">
        <v>0.24048</v>
      </c>
      <c r="J6" s="12">
        <v>-2.63E-2</v>
      </c>
      <c r="K6" s="12">
        <v>3.7010000000000001E-2</v>
      </c>
      <c r="L6" s="12">
        <v>-1.77765</v>
      </c>
      <c r="M6" s="12">
        <v>2.1989399999999999</v>
      </c>
      <c r="N6" s="12">
        <v>-0.71752000000000005</v>
      </c>
      <c r="O6" s="12">
        <v>-6.4999999999999997E-3</v>
      </c>
      <c r="P6" s="12">
        <v>-15.8597</v>
      </c>
      <c r="Q6" s="12">
        <v>1.2649087687328917</v>
      </c>
      <c r="R6" s="12">
        <v>0.30587999999999999</v>
      </c>
      <c r="S6" s="12">
        <v>0.48830000000000001</v>
      </c>
      <c r="T6" s="12">
        <v>0.49357000000000001</v>
      </c>
      <c r="U6">
        <v>0.63400000000000001</v>
      </c>
      <c r="V6">
        <v>0.38300000000000001</v>
      </c>
      <c r="W6">
        <v>0.74099999999999999</v>
      </c>
      <c r="X6">
        <v>0.36499999999999999</v>
      </c>
      <c r="Y6" s="33">
        <v>0.102649007</v>
      </c>
      <c r="Z6" s="33">
        <v>0</v>
      </c>
      <c r="AA6" s="33">
        <v>-6.5839028192752891E-2</v>
      </c>
      <c r="AB6" s="33">
        <v>-0.22466938154718297</v>
      </c>
      <c r="AC6" s="33">
        <v>-0.42448723683278139</v>
      </c>
      <c r="AD6">
        <v>0.496</v>
      </c>
      <c r="AE6">
        <v>0.498</v>
      </c>
      <c r="AF6">
        <v>0.34300000000000003</v>
      </c>
      <c r="AG6">
        <v>0.51200000000000001</v>
      </c>
      <c r="AH6">
        <v>0.35599999999999998</v>
      </c>
      <c r="AI6">
        <v>0.46899999999999997</v>
      </c>
      <c r="AJ6">
        <v>0.19900000000000001</v>
      </c>
      <c r="AK6">
        <v>0.50800000000000001</v>
      </c>
      <c r="AM6" s="3"/>
      <c r="AN6" s="3"/>
      <c r="AO6" s="32"/>
      <c r="AP6" s="3"/>
      <c r="AR6" s="3"/>
      <c r="AS6" s="3"/>
      <c r="AT6" s="3"/>
      <c r="AU6" s="3"/>
      <c r="AX6" s="33"/>
      <c r="AY6" s="49"/>
      <c r="AZ6" s="33"/>
      <c r="BA6" s="33"/>
      <c r="BB6" s="33"/>
      <c r="BC6" s="33"/>
      <c r="BO6" s="13"/>
      <c r="BP6" s="42"/>
      <c r="BQ6" s="42"/>
      <c r="BS6" s="3"/>
      <c r="BT6" s="42"/>
      <c r="BU6" s="42"/>
      <c r="BV6" s="42"/>
      <c r="BW6" s="3"/>
      <c r="BX6" s="3"/>
      <c r="BY6" s="3"/>
      <c r="BZ6" s="3"/>
      <c r="CA6" s="42"/>
      <c r="CB6" s="42"/>
      <c r="CC6" s="42"/>
      <c r="CD6" s="42"/>
      <c r="CE6" s="42"/>
      <c r="CF6" s="56"/>
      <c r="CJ6" s="32"/>
      <c r="CK6" s="32"/>
      <c r="CL6" s="3"/>
      <c r="CM6" s="3"/>
      <c r="CQ6" s="32"/>
      <c r="CR6" s="32"/>
      <c r="CS6" s="42"/>
      <c r="CT6" s="3"/>
      <c r="CX6" s="32"/>
      <c r="CY6" s="32"/>
      <c r="CZ6" s="43"/>
      <c r="DA6" s="42"/>
      <c r="DB6" s="42"/>
      <c r="DC6" s="42"/>
      <c r="DD6" s="42"/>
      <c r="DE6" s="42"/>
      <c r="DF6" s="42"/>
      <c r="DG6" s="42"/>
      <c r="DH6" s="42"/>
      <c r="DI6" s="42"/>
      <c r="DK6" s="13"/>
      <c r="DM6" s="3"/>
    </row>
    <row r="7" spans="1:117" ht="15.4" x14ac:dyDescent="0.55000000000000004">
      <c r="A7">
        <v>4</v>
      </c>
      <c r="B7" s="49">
        <v>0.03</v>
      </c>
      <c r="C7" s="12">
        <v>-3.6137899999999998</v>
      </c>
      <c r="D7" s="12">
        <v>0.95096000000000003</v>
      </c>
      <c r="E7" s="12">
        <v>1.8224100000000001</v>
      </c>
      <c r="F7" s="12">
        <v>0.26027</v>
      </c>
      <c r="G7" s="118">
        <v>0.2</v>
      </c>
      <c r="H7" s="12">
        <v>0</v>
      </c>
      <c r="I7" s="12">
        <v>0.25419999999999998</v>
      </c>
      <c r="J7" s="12">
        <v>-1.9769999999999999E-2</v>
      </c>
      <c r="K7" s="12">
        <v>3.771E-2</v>
      </c>
      <c r="L7" s="12">
        <v>-1.8270999999999999</v>
      </c>
      <c r="M7" s="12">
        <v>2.16954</v>
      </c>
      <c r="N7" s="12">
        <v>-0.72741999999999996</v>
      </c>
      <c r="O7" s="12">
        <v>-6.28E-3</v>
      </c>
      <c r="P7" s="12">
        <v>-15.60694</v>
      </c>
      <c r="Q7" s="12">
        <v>1.2687091928249108</v>
      </c>
      <c r="R7" s="12">
        <v>0.30934</v>
      </c>
      <c r="S7" s="12">
        <v>0.48233999999999999</v>
      </c>
      <c r="T7" s="12">
        <v>0.46929999999999999</v>
      </c>
      <c r="U7">
        <v>0.64100000000000001</v>
      </c>
      <c r="V7">
        <v>0.39100000000000001</v>
      </c>
      <c r="W7">
        <v>0.751</v>
      </c>
      <c r="X7">
        <v>0.371</v>
      </c>
      <c r="Y7" s="33">
        <v>0.113907285</v>
      </c>
      <c r="Z7" s="33">
        <v>0</v>
      </c>
      <c r="AA7" s="33">
        <v>-7.4155985909304598E-2</v>
      </c>
      <c r="AB7" s="33">
        <v>-0.23783969074732172</v>
      </c>
      <c r="AC7" s="33">
        <v>-0.43157863051344247</v>
      </c>
      <c r="AD7">
        <v>0.48699999999999999</v>
      </c>
      <c r="AE7">
        <v>0.48799999999999999</v>
      </c>
      <c r="AF7">
        <v>0.36</v>
      </c>
      <c r="AG7">
        <v>0.51100000000000001</v>
      </c>
      <c r="AH7">
        <v>0.36299999999999999</v>
      </c>
      <c r="AI7">
        <v>0.47</v>
      </c>
      <c r="AJ7">
        <v>0.193</v>
      </c>
      <c r="AK7">
        <v>0.52600000000000002</v>
      </c>
      <c r="AM7" s="3"/>
      <c r="AN7" s="3"/>
      <c r="AO7" s="32"/>
      <c r="AP7" s="3"/>
      <c r="AR7" s="3"/>
      <c r="AS7" s="3"/>
      <c r="AT7" s="3"/>
      <c r="AU7" s="3"/>
      <c r="AX7" s="33"/>
      <c r="AY7" s="49"/>
      <c r="AZ7" s="33"/>
      <c r="BA7" s="33"/>
      <c r="BB7" s="33"/>
      <c r="BC7" s="33"/>
      <c r="BO7" s="13"/>
      <c r="BP7" s="42"/>
      <c r="BQ7" s="42"/>
      <c r="BS7" s="3"/>
      <c r="BT7" s="42"/>
      <c r="BU7" s="42"/>
      <c r="BV7" s="42"/>
      <c r="BW7" s="3"/>
      <c r="BX7" s="3"/>
      <c r="BY7" s="3"/>
      <c r="BZ7" s="3"/>
      <c r="CA7" s="42"/>
      <c r="CB7" s="42"/>
      <c r="CC7" s="42"/>
      <c r="CD7" s="42"/>
      <c r="CE7" s="42"/>
      <c r="CF7" s="56"/>
      <c r="CJ7" s="32"/>
      <c r="CK7" s="32"/>
      <c r="CL7" s="3"/>
      <c r="CM7" s="3"/>
      <c r="CQ7" s="32"/>
      <c r="CR7" s="32"/>
      <c r="CS7" s="42"/>
      <c r="CT7" s="3"/>
      <c r="CX7" s="32"/>
      <c r="CY7" s="32"/>
      <c r="CZ7" s="43"/>
      <c r="DA7" s="42"/>
      <c r="DB7" s="42"/>
      <c r="DC7" s="42"/>
      <c r="DD7" s="42"/>
      <c r="DE7" s="42"/>
      <c r="DF7" s="42"/>
      <c r="DG7" s="42"/>
      <c r="DH7" s="42"/>
      <c r="DI7" s="42"/>
      <c r="DK7" s="13"/>
      <c r="DM7" s="3"/>
    </row>
    <row r="8" spans="1:117" ht="15.4" x14ac:dyDescent="0.55000000000000004">
      <c r="A8">
        <v>5</v>
      </c>
      <c r="B8" s="49">
        <v>0.04</v>
      </c>
      <c r="C8" s="12">
        <v>-3.6587299999999998</v>
      </c>
      <c r="D8" s="12">
        <v>0.95299</v>
      </c>
      <c r="E8" s="12">
        <v>1.82918</v>
      </c>
      <c r="F8" s="12">
        <v>0.28206999999999999</v>
      </c>
      <c r="G8" s="118">
        <v>0.2</v>
      </c>
      <c r="H8" s="12">
        <v>0</v>
      </c>
      <c r="I8" s="12">
        <v>0.26859</v>
      </c>
      <c r="J8" s="12">
        <v>-1.627E-2</v>
      </c>
      <c r="K8" s="12">
        <v>3.7949999999999998E-2</v>
      </c>
      <c r="L8" s="12">
        <v>-1.8478600000000001</v>
      </c>
      <c r="M8" s="12">
        <v>2.1421299999999999</v>
      </c>
      <c r="N8" s="12">
        <v>-0.72177999999999998</v>
      </c>
      <c r="O8" s="12">
        <v>-6.3699999999999998E-3</v>
      </c>
      <c r="P8" s="12">
        <v>-15.386939999999999</v>
      </c>
      <c r="Q8" s="12">
        <v>1.2649087687328917</v>
      </c>
      <c r="R8" s="12">
        <v>0.30584</v>
      </c>
      <c r="S8" s="12">
        <v>0.47144999999999998</v>
      </c>
      <c r="T8" s="12">
        <v>0.42505999999999999</v>
      </c>
      <c r="U8">
        <v>0.65100000000000002</v>
      </c>
      <c r="V8">
        <v>0.40500000000000003</v>
      </c>
      <c r="W8">
        <v>0.76700000000000002</v>
      </c>
      <c r="X8">
        <v>0.38500000000000001</v>
      </c>
      <c r="Y8" s="33">
        <v>0.13576158899999999</v>
      </c>
      <c r="Z8" s="33">
        <v>0</v>
      </c>
      <c r="AA8" s="33">
        <v>-8.5103483657565829E-2</v>
      </c>
      <c r="AB8" s="33">
        <v>-0.2554037792597052</v>
      </c>
      <c r="AC8" s="33">
        <v>-0.44381701372527493</v>
      </c>
      <c r="AD8">
        <v>0.49</v>
      </c>
      <c r="AE8">
        <v>0.48299999999999998</v>
      </c>
      <c r="AF8">
        <v>0.379</v>
      </c>
      <c r="AG8">
        <v>0.51300000000000001</v>
      </c>
      <c r="AH8">
        <v>0.378</v>
      </c>
      <c r="AI8">
        <v>0.47199999999999998</v>
      </c>
      <c r="AJ8">
        <v>0.19800000000000001</v>
      </c>
      <c r="AK8">
        <v>0.54300000000000004</v>
      </c>
      <c r="AM8" s="3"/>
      <c r="AN8" s="3"/>
      <c r="AO8" s="32"/>
      <c r="AP8" s="3"/>
      <c r="AR8" s="3"/>
      <c r="AS8" s="3"/>
      <c r="AT8" s="3"/>
      <c r="AU8" s="3"/>
      <c r="AX8" s="33"/>
      <c r="AY8" s="49"/>
      <c r="AZ8" s="33"/>
      <c r="BA8" s="33"/>
      <c r="BB8" s="33"/>
      <c r="BC8" s="33"/>
      <c r="BO8" s="13"/>
      <c r="BP8" s="42"/>
      <c r="BQ8" s="42"/>
      <c r="BS8" s="3"/>
      <c r="BT8" s="42"/>
      <c r="BU8" s="42"/>
      <c r="BV8" s="42"/>
      <c r="BW8" s="3"/>
      <c r="BX8" s="3"/>
      <c r="BY8" s="3"/>
      <c r="BZ8" s="3"/>
      <c r="CA8" s="42"/>
      <c r="CB8" s="42"/>
      <c r="CC8" s="42"/>
      <c r="CD8" s="42"/>
      <c r="CE8" s="42"/>
      <c r="CF8" s="56"/>
      <c r="CJ8" s="32"/>
      <c r="CK8" s="32"/>
      <c r="CL8" s="3"/>
      <c r="CM8" s="3"/>
      <c r="CQ8" s="32"/>
      <c r="CR8" s="32"/>
      <c r="CS8" s="42"/>
      <c r="CT8" s="3"/>
      <c r="CX8" s="32"/>
      <c r="CY8" s="32"/>
      <c r="CZ8" s="43"/>
      <c r="DA8" s="42"/>
      <c r="DB8" s="42"/>
      <c r="DC8" s="42"/>
      <c r="DD8" s="42"/>
      <c r="DE8" s="42"/>
      <c r="DF8" s="42"/>
      <c r="DG8" s="42"/>
      <c r="DH8" s="42"/>
      <c r="DI8" s="42"/>
      <c r="DK8" s="13"/>
      <c r="DM8" s="3"/>
    </row>
    <row r="9" spans="1:117" ht="15.4" x14ac:dyDescent="0.55000000000000004">
      <c r="A9">
        <v>6</v>
      </c>
      <c r="B9" s="49">
        <v>0.05</v>
      </c>
      <c r="C9" s="12">
        <v>-3.70425</v>
      </c>
      <c r="D9" s="12">
        <v>0.95591000000000004</v>
      </c>
      <c r="E9" s="12">
        <v>1.81677</v>
      </c>
      <c r="F9" s="12">
        <v>0.30099999999999999</v>
      </c>
      <c r="G9" s="118">
        <v>0.2</v>
      </c>
      <c r="H9" s="12">
        <v>0</v>
      </c>
      <c r="I9" s="12">
        <v>0.28129999999999999</v>
      </c>
      <c r="J9" s="12">
        <v>-2.4049999999999998E-2</v>
      </c>
      <c r="K9" s="12">
        <v>3.7789999999999997E-2</v>
      </c>
      <c r="L9" s="12">
        <v>-1.8132900000000001</v>
      </c>
      <c r="M9" s="12">
        <v>2.1413700000000002</v>
      </c>
      <c r="N9" s="12">
        <v>-0.70889999999999997</v>
      </c>
      <c r="O9" s="12">
        <v>-6.8300000000000001E-3</v>
      </c>
      <c r="P9" s="12">
        <v>-15.358180000000001</v>
      </c>
      <c r="Q9" s="12">
        <v>1.2510710194283623</v>
      </c>
      <c r="R9" s="12">
        <v>0.29060999999999998</v>
      </c>
      <c r="S9" s="12">
        <v>0.45473999999999998</v>
      </c>
      <c r="T9" s="12">
        <v>0.36703000000000002</v>
      </c>
      <c r="U9">
        <v>0.66</v>
      </c>
      <c r="V9">
        <v>0.41399999999999998</v>
      </c>
      <c r="W9">
        <v>0.77800000000000002</v>
      </c>
      <c r="X9">
        <v>0.39700000000000002</v>
      </c>
      <c r="Y9" s="33">
        <v>0.15960264900000001</v>
      </c>
      <c r="Z9" s="33">
        <v>0</v>
      </c>
      <c r="AA9" s="33">
        <v>-9.586243013819476E-2</v>
      </c>
      <c r="AB9" s="33">
        <v>-0.27248170083489426</v>
      </c>
      <c r="AC9" s="33">
        <v>-0.45705730787477294</v>
      </c>
      <c r="AD9">
        <v>0.498</v>
      </c>
      <c r="AE9">
        <v>0.47299999999999998</v>
      </c>
      <c r="AF9">
        <v>0.39400000000000002</v>
      </c>
      <c r="AG9">
        <v>0.51200000000000001</v>
      </c>
      <c r="AH9">
        <v>0.39100000000000001</v>
      </c>
      <c r="AI9">
        <v>0.47599999999999998</v>
      </c>
      <c r="AJ9">
        <v>0.20899999999999999</v>
      </c>
      <c r="AK9">
        <v>0.55700000000000005</v>
      </c>
      <c r="AM9" s="3"/>
      <c r="AN9" s="3"/>
      <c r="AO9" s="32"/>
      <c r="AP9" s="3"/>
      <c r="AR9" s="3"/>
      <c r="AS9" s="3"/>
      <c r="AT9" s="3"/>
      <c r="AU9" s="3"/>
      <c r="AX9" s="33"/>
      <c r="AY9" s="49"/>
      <c r="AZ9" s="33"/>
      <c r="BA9" s="33"/>
      <c r="BB9" s="33"/>
      <c r="BC9" s="33"/>
      <c r="BO9" s="13"/>
      <c r="BP9" s="42"/>
      <c r="BQ9" s="42"/>
      <c r="BS9" s="3"/>
      <c r="BT9" s="42"/>
      <c r="BU9" s="42"/>
      <c r="BV9" s="42"/>
      <c r="BW9" s="3"/>
      <c r="BX9" s="3"/>
      <c r="BY9" s="3"/>
      <c r="BZ9" s="3"/>
      <c r="CA9" s="42"/>
      <c r="CB9" s="42"/>
      <c r="CC9" s="42"/>
      <c r="CD9" s="42"/>
      <c r="CE9" s="42"/>
      <c r="CF9" s="56"/>
      <c r="CJ9" s="32"/>
      <c r="CK9" s="32"/>
      <c r="CL9" s="3"/>
      <c r="CM9" s="3"/>
      <c r="CQ9" s="32"/>
      <c r="CR9" s="32"/>
      <c r="CS9" s="42"/>
      <c r="CT9" s="3"/>
      <c r="CX9" s="32"/>
      <c r="CY9" s="32"/>
      <c r="CZ9" s="43"/>
      <c r="DA9" s="42"/>
      <c r="DB9" s="42"/>
      <c r="DC9" s="42"/>
      <c r="DD9" s="42"/>
      <c r="DE9" s="42"/>
      <c r="DF9" s="42"/>
      <c r="DG9" s="42"/>
      <c r="DH9" s="42"/>
      <c r="DI9" s="42"/>
      <c r="DK9" s="13"/>
      <c r="DM9" s="3"/>
    </row>
    <row r="10" spans="1:117" ht="15.4" x14ac:dyDescent="0.55000000000000004">
      <c r="A10">
        <v>7</v>
      </c>
      <c r="B10" s="49">
        <v>0.06</v>
      </c>
      <c r="C10" s="12">
        <v>-3.7638600000000002</v>
      </c>
      <c r="D10" s="12">
        <v>0.95950000000000002</v>
      </c>
      <c r="E10" s="12">
        <v>1.79026</v>
      </c>
      <c r="F10" s="12">
        <v>0.30936000000000002</v>
      </c>
      <c r="G10" s="118">
        <v>0.2</v>
      </c>
      <c r="H10" s="12">
        <v>0</v>
      </c>
      <c r="I10" s="12">
        <v>0.29209000000000002</v>
      </c>
      <c r="J10" s="12">
        <v>-4.3520000000000003E-2</v>
      </c>
      <c r="K10" s="12">
        <v>3.7289999999999997E-2</v>
      </c>
      <c r="L10" s="12">
        <v>-1.75963</v>
      </c>
      <c r="M10" s="12">
        <v>2.1574900000000001</v>
      </c>
      <c r="N10" s="12">
        <v>-0.69260999999999995</v>
      </c>
      <c r="O10" s="12">
        <v>-7.5100000000000002E-3</v>
      </c>
      <c r="P10" s="12">
        <v>-15.40347</v>
      </c>
      <c r="Q10" s="12">
        <v>1.2312131695488677</v>
      </c>
      <c r="R10" s="12">
        <v>0.27027000000000001</v>
      </c>
      <c r="S10" s="12">
        <v>0.43822</v>
      </c>
      <c r="T10" s="12">
        <v>0.31631999999999999</v>
      </c>
      <c r="U10">
        <v>0.66900000000000004</v>
      </c>
      <c r="V10">
        <v>0.42499999999999999</v>
      </c>
      <c r="W10">
        <v>0.79200000000000004</v>
      </c>
      <c r="X10">
        <v>0.41299999999999998</v>
      </c>
      <c r="Y10" s="33">
        <v>0.181456954</v>
      </c>
      <c r="Z10" s="33">
        <v>0</v>
      </c>
      <c r="AA10" s="33">
        <v>-0.10795290841410607</v>
      </c>
      <c r="AB10" s="33">
        <v>-0.29066533562697028</v>
      </c>
      <c r="AC10" s="33">
        <v>-0.47072190419328402</v>
      </c>
      <c r="AD10">
        <v>0.54</v>
      </c>
      <c r="AE10">
        <v>0.47899999999999998</v>
      </c>
      <c r="AF10">
        <v>0.40300000000000002</v>
      </c>
      <c r="AG10">
        <v>0.51400000000000001</v>
      </c>
      <c r="AH10">
        <v>0.39500000000000002</v>
      </c>
      <c r="AI10">
        <v>0.48499999999999999</v>
      </c>
      <c r="AJ10">
        <v>0.216</v>
      </c>
      <c r="AK10">
        <v>0.55900000000000005</v>
      </c>
      <c r="AM10" s="3"/>
      <c r="AN10" s="3"/>
      <c r="AO10" s="32"/>
      <c r="AP10" s="3"/>
      <c r="AR10" s="3"/>
      <c r="AS10" s="3"/>
      <c r="AT10" s="3"/>
      <c r="AU10" s="3"/>
      <c r="AX10" s="33"/>
      <c r="AY10" s="49"/>
      <c r="AZ10" s="33"/>
      <c r="BA10" s="33"/>
      <c r="BB10" s="33"/>
      <c r="BC10" s="33"/>
      <c r="BO10" s="13"/>
      <c r="BP10" s="42"/>
      <c r="BQ10" s="42"/>
      <c r="BS10" s="3"/>
      <c r="BT10" s="42"/>
      <c r="BU10" s="42"/>
      <c r="BV10" s="42"/>
      <c r="BW10" s="3"/>
      <c r="BX10" s="3"/>
      <c r="BY10" s="3"/>
      <c r="BZ10" s="3"/>
      <c r="CA10" s="42"/>
      <c r="CB10" s="42"/>
      <c r="CC10" s="42"/>
      <c r="CD10" s="42"/>
      <c r="CE10" s="42"/>
      <c r="CF10" s="56"/>
      <c r="CJ10" s="32"/>
      <c r="CK10" s="32"/>
      <c r="CL10" s="3"/>
      <c r="CM10" s="3"/>
      <c r="CQ10" s="32"/>
      <c r="CR10" s="32"/>
      <c r="CS10" s="42"/>
      <c r="CT10" s="3"/>
      <c r="CX10" s="32"/>
      <c r="CY10" s="32"/>
      <c r="CZ10" s="43"/>
      <c r="DA10" s="42"/>
      <c r="DB10" s="42"/>
      <c r="DC10" s="42"/>
      <c r="DD10" s="42"/>
      <c r="DE10" s="42"/>
      <c r="DF10" s="42"/>
      <c r="DG10" s="42"/>
      <c r="DH10" s="42"/>
      <c r="DI10" s="42"/>
      <c r="DK10" s="13"/>
      <c r="DM10" s="3"/>
    </row>
    <row r="11" spans="1:117" ht="15.4" x14ac:dyDescent="0.55000000000000004">
      <c r="A11">
        <v>8</v>
      </c>
      <c r="B11" s="49">
        <v>7.0000000000000007E-2</v>
      </c>
      <c r="C11" s="12">
        <v>-3.83243</v>
      </c>
      <c r="D11" s="12">
        <v>0.96360000000000001</v>
      </c>
      <c r="E11" s="12">
        <v>1.7567200000000001</v>
      </c>
      <c r="F11" s="12">
        <v>0.30564999999999998</v>
      </c>
      <c r="G11" s="118">
        <v>0.2</v>
      </c>
      <c r="H11" s="12">
        <v>0</v>
      </c>
      <c r="I11" s="12">
        <v>0.30097000000000002</v>
      </c>
      <c r="J11" s="12">
        <v>-5.7610000000000001E-2</v>
      </c>
      <c r="K11" s="12">
        <v>3.6490000000000002E-2</v>
      </c>
      <c r="L11" s="12">
        <v>-1.70451</v>
      </c>
      <c r="M11" s="12">
        <v>2.1867899999999998</v>
      </c>
      <c r="N11" s="12">
        <v>-0.67471000000000003</v>
      </c>
      <c r="O11" s="12">
        <v>-8.1499999999999993E-3</v>
      </c>
      <c r="P11" s="12">
        <v>-15.50259</v>
      </c>
      <c r="Q11" s="12">
        <v>1.2140962829562332</v>
      </c>
      <c r="R11" s="12">
        <v>0.25224000000000002</v>
      </c>
      <c r="S11" s="12">
        <v>0.41921999999999998</v>
      </c>
      <c r="T11" s="12">
        <v>0.27914</v>
      </c>
      <c r="U11">
        <v>0.69199999999999995</v>
      </c>
      <c r="V11">
        <v>0.437</v>
      </c>
      <c r="W11">
        <v>0.81799999999999995</v>
      </c>
      <c r="X11">
        <v>0.44400000000000001</v>
      </c>
      <c r="Y11" s="33">
        <v>0.20132450299999999</v>
      </c>
      <c r="Z11" s="33">
        <v>0</v>
      </c>
      <c r="AA11" s="33">
        <v>-0.11873215127257872</v>
      </c>
      <c r="AB11" s="33">
        <v>-0.30611320968913086</v>
      </c>
      <c r="AC11" s="33">
        <v>-0.48203007307332651</v>
      </c>
      <c r="AD11">
        <v>0.57999999999999996</v>
      </c>
      <c r="AE11">
        <v>0.498</v>
      </c>
      <c r="AF11">
        <v>0.439</v>
      </c>
      <c r="AG11">
        <v>0.52</v>
      </c>
      <c r="AH11">
        <v>0.41899999999999998</v>
      </c>
      <c r="AI11">
        <v>0.498</v>
      </c>
      <c r="AJ11">
        <v>0.2</v>
      </c>
      <c r="AK11">
        <v>0.55900000000000005</v>
      </c>
      <c r="AM11" s="3"/>
      <c r="AN11" s="3"/>
      <c r="AO11" s="32"/>
      <c r="AP11" s="3"/>
      <c r="AR11" s="3"/>
      <c r="AS11" s="3"/>
      <c r="AT11" s="3"/>
      <c r="AU11" s="3"/>
      <c r="AX11" s="33"/>
      <c r="AY11" s="49"/>
      <c r="AZ11" s="33"/>
      <c r="BA11" s="33"/>
      <c r="BB11" s="33"/>
      <c r="BC11" s="33"/>
      <c r="BO11" s="13"/>
      <c r="BP11" s="42"/>
      <c r="BQ11" s="42"/>
      <c r="BS11" s="3"/>
      <c r="BT11" s="42"/>
      <c r="BU11" s="42"/>
      <c r="BV11" s="42"/>
      <c r="BW11" s="3"/>
      <c r="BX11" s="3"/>
      <c r="BY11" s="3"/>
      <c r="BZ11" s="3"/>
      <c r="CA11" s="42"/>
      <c r="CB11" s="42"/>
      <c r="CC11" s="42"/>
      <c r="CD11" s="42"/>
      <c r="CE11" s="42"/>
      <c r="CF11" s="56"/>
      <c r="CJ11" s="32"/>
      <c r="CK11" s="32"/>
      <c r="CL11" s="3"/>
      <c r="CM11" s="3"/>
      <c r="CQ11" s="32"/>
      <c r="CR11" s="32"/>
      <c r="CS11" s="42"/>
      <c r="CT11" s="3"/>
      <c r="CX11" s="32"/>
      <c r="CY11" s="32"/>
      <c r="CZ11" s="43"/>
      <c r="DA11" s="42"/>
      <c r="DB11" s="42"/>
      <c r="DC11" s="42"/>
      <c r="DD11" s="42"/>
      <c r="DE11" s="42"/>
      <c r="DF11" s="42"/>
      <c r="DG11" s="42"/>
      <c r="DH11" s="42"/>
      <c r="DI11" s="42"/>
      <c r="DK11" s="13"/>
      <c r="DM11" s="3"/>
    </row>
    <row r="12" spans="1:117" ht="15.4" x14ac:dyDescent="0.55000000000000004">
      <c r="A12">
        <v>9</v>
      </c>
      <c r="B12" s="49">
        <v>0.08</v>
      </c>
      <c r="C12" s="12">
        <v>-3.9059900000000001</v>
      </c>
      <c r="D12" s="12">
        <v>0.96796000000000004</v>
      </c>
      <c r="E12" s="12">
        <v>1.7217800000000001</v>
      </c>
      <c r="F12" s="12">
        <v>0.29524</v>
      </c>
      <c r="G12" s="118">
        <v>0.2</v>
      </c>
      <c r="H12" s="12">
        <v>0</v>
      </c>
      <c r="I12" s="12">
        <v>0.30790000000000001</v>
      </c>
      <c r="J12" s="12">
        <v>-6.0859999999999997E-2</v>
      </c>
      <c r="K12" s="12">
        <v>3.5380000000000002E-2</v>
      </c>
      <c r="L12" s="12">
        <v>-1.64262</v>
      </c>
      <c r="M12" s="12">
        <v>2.2233800000000001</v>
      </c>
      <c r="N12" s="12">
        <v>-0.65744000000000002</v>
      </c>
      <c r="O12" s="12">
        <v>-8.7100000000000007E-3</v>
      </c>
      <c r="P12" s="12">
        <v>-15.672650000000001</v>
      </c>
      <c r="Q12" s="12">
        <v>1.2032184401276953</v>
      </c>
      <c r="R12" s="12">
        <v>0.24024999999999999</v>
      </c>
      <c r="S12" s="12">
        <v>0.40373999999999999</v>
      </c>
      <c r="T12" s="12">
        <v>0.25807000000000002</v>
      </c>
      <c r="U12">
        <v>0.70399999999999996</v>
      </c>
      <c r="V12">
        <v>0.441</v>
      </c>
      <c r="W12">
        <v>0.83099999999999996</v>
      </c>
      <c r="X12">
        <v>0.45400000000000001</v>
      </c>
      <c r="Y12" s="33">
        <v>0.21854304599999999</v>
      </c>
      <c r="Z12" s="33">
        <v>0</v>
      </c>
      <c r="AA12" s="33">
        <v>-0.12737142293255246</v>
      </c>
      <c r="AB12" s="33">
        <v>-0.31946522976355496</v>
      </c>
      <c r="AC12" s="33">
        <v>-0.49421013865110813</v>
      </c>
      <c r="AD12">
        <v>0.60699999999999998</v>
      </c>
      <c r="AE12">
        <v>0.49199999999999999</v>
      </c>
      <c r="AF12">
        <v>0.435</v>
      </c>
      <c r="AG12">
        <v>0.52400000000000002</v>
      </c>
      <c r="AH12">
        <v>0.442</v>
      </c>
      <c r="AI12">
        <v>0.50600000000000001</v>
      </c>
      <c r="AJ12">
        <v>0.22800000000000001</v>
      </c>
      <c r="AK12">
        <v>0.55300000000000005</v>
      </c>
      <c r="AM12" s="3"/>
      <c r="AN12" s="3"/>
      <c r="AO12" s="32"/>
      <c r="AP12" s="3"/>
      <c r="AR12" s="3"/>
      <c r="AS12" s="3"/>
      <c r="AT12" s="3"/>
      <c r="AU12" s="3"/>
      <c r="AX12" s="33"/>
      <c r="AY12" s="49"/>
      <c r="AZ12" s="33"/>
      <c r="BA12" s="33"/>
      <c r="BB12" s="33"/>
      <c r="BC12" s="33"/>
      <c r="BO12" s="13"/>
      <c r="BP12" s="42"/>
      <c r="BQ12" s="42"/>
      <c r="BS12" s="3"/>
      <c r="BT12" s="42"/>
      <c r="BU12" s="42"/>
      <c r="BV12" s="42"/>
      <c r="BW12" s="3"/>
      <c r="BX12" s="3"/>
      <c r="BY12" s="3"/>
      <c r="BZ12" s="3"/>
      <c r="CA12" s="42"/>
      <c r="CB12" s="42"/>
      <c r="CC12" s="42"/>
      <c r="CD12" s="42"/>
      <c r="CE12" s="42"/>
      <c r="CF12" s="56"/>
      <c r="CJ12" s="32"/>
      <c r="CK12" s="32"/>
      <c r="CL12" s="3"/>
      <c r="CM12" s="3"/>
      <c r="CQ12" s="32"/>
      <c r="CR12" s="32"/>
      <c r="CS12" s="42"/>
      <c r="CT12" s="3"/>
      <c r="CX12" s="32"/>
      <c r="CY12" s="32"/>
      <c r="CZ12" s="43"/>
      <c r="DA12" s="42"/>
      <c r="DB12" s="42"/>
      <c r="DC12" s="42"/>
      <c r="DD12" s="42"/>
      <c r="DE12" s="42"/>
      <c r="DF12" s="42"/>
      <c r="DG12" s="42"/>
      <c r="DH12" s="42"/>
      <c r="DI12" s="42"/>
      <c r="DK12" s="13"/>
      <c r="DM12" s="3"/>
    </row>
    <row r="13" spans="1:117" ht="15.4" x14ac:dyDescent="0.55000000000000004">
      <c r="A13">
        <v>10</v>
      </c>
      <c r="B13" s="49">
        <v>0.09</v>
      </c>
      <c r="C13" s="12">
        <v>-3.9817999999999998</v>
      </c>
      <c r="D13" s="12">
        <v>0.97304999999999997</v>
      </c>
      <c r="E13" s="12">
        <v>1.6860200000000001</v>
      </c>
      <c r="F13" s="12">
        <v>0.27650000000000002</v>
      </c>
      <c r="G13" s="118">
        <v>0.2</v>
      </c>
      <c r="H13" s="12">
        <v>0</v>
      </c>
      <c r="I13" s="12">
        <v>0.31294</v>
      </c>
      <c r="J13" s="12">
        <v>-5.1860000000000003E-2</v>
      </c>
      <c r="K13" s="12">
        <v>3.406E-2</v>
      </c>
      <c r="L13" s="12">
        <v>-1.5887899999999999</v>
      </c>
      <c r="M13" s="12">
        <v>2.2640400000000001</v>
      </c>
      <c r="N13" s="12">
        <v>-0.64071</v>
      </c>
      <c r="O13" s="12">
        <v>-9.1599999999999997E-3</v>
      </c>
      <c r="P13" s="12">
        <v>-15.858129999999999</v>
      </c>
      <c r="Q13" s="12">
        <v>1.1996141938798683</v>
      </c>
      <c r="R13" s="12">
        <v>0.23638999999999999</v>
      </c>
      <c r="S13" s="12">
        <v>0.39124999999999999</v>
      </c>
      <c r="T13" s="12">
        <v>0.25264999999999999</v>
      </c>
      <c r="U13">
        <v>0.71099999999999997</v>
      </c>
      <c r="V13">
        <v>0.435</v>
      </c>
      <c r="W13">
        <v>0.83299999999999996</v>
      </c>
      <c r="X13">
        <v>0.45200000000000001</v>
      </c>
      <c r="Y13" s="33">
        <v>0.23311258300000001</v>
      </c>
      <c r="Z13" s="33">
        <v>0</v>
      </c>
      <c r="AA13" s="33">
        <v>-0.13434745350136806</v>
      </c>
      <c r="AB13" s="33">
        <v>-0.33067324070029497</v>
      </c>
      <c r="AC13" s="33">
        <v>-0.50539610087620579</v>
      </c>
      <c r="AD13">
        <v>0.624</v>
      </c>
      <c r="AE13">
        <v>0.48899999999999999</v>
      </c>
      <c r="AF13">
        <v>0.42199999999999999</v>
      </c>
      <c r="AG13">
        <v>0.53200000000000003</v>
      </c>
      <c r="AH13">
        <v>0.44500000000000001</v>
      </c>
      <c r="AI13">
        <v>0.50800000000000001</v>
      </c>
      <c r="AJ13">
        <v>0.22800000000000001</v>
      </c>
      <c r="AK13">
        <v>0.53400000000000003</v>
      </c>
      <c r="AM13" s="3"/>
      <c r="AN13" s="3"/>
      <c r="AO13" s="32"/>
      <c r="AP13" s="3"/>
      <c r="AR13" s="3"/>
      <c r="AS13" s="3"/>
      <c r="AT13" s="3"/>
      <c r="AU13" s="3"/>
      <c r="AX13" s="33"/>
      <c r="AY13" s="49"/>
      <c r="AZ13" s="33"/>
      <c r="BA13" s="33"/>
      <c r="BB13" s="33"/>
      <c r="BC13" s="33"/>
      <c r="BO13" s="13"/>
      <c r="BP13" s="42"/>
      <c r="BQ13" s="42"/>
      <c r="BS13" s="3"/>
      <c r="BT13" s="42"/>
      <c r="BU13" s="42"/>
      <c r="BV13" s="42"/>
      <c r="BW13" s="3"/>
      <c r="BX13" s="3"/>
      <c r="BY13" s="3"/>
      <c r="BZ13" s="3"/>
      <c r="CA13" s="42"/>
      <c r="CB13" s="42"/>
      <c r="CC13" s="42"/>
      <c r="CD13" s="42"/>
      <c r="CE13" s="42"/>
      <c r="CF13" s="56"/>
      <c r="CJ13" s="32"/>
      <c r="CK13" s="32"/>
      <c r="CL13" s="3"/>
      <c r="CM13" s="3"/>
      <c r="CQ13" s="32"/>
      <c r="CR13" s="32"/>
      <c r="CS13" s="42"/>
      <c r="CT13" s="3"/>
      <c r="CX13" s="32"/>
      <c r="CY13" s="32"/>
      <c r="CZ13" s="43"/>
      <c r="DA13" s="42"/>
      <c r="DB13" s="42"/>
      <c r="DC13" s="42"/>
      <c r="DD13" s="42"/>
      <c r="DE13" s="42"/>
      <c r="DF13" s="42"/>
      <c r="DG13" s="42"/>
      <c r="DH13" s="42"/>
      <c r="DI13" s="42"/>
      <c r="DK13" s="13"/>
      <c r="DM13" s="3"/>
    </row>
    <row r="14" spans="1:117" ht="15.4" x14ac:dyDescent="0.55000000000000004">
      <c r="A14">
        <v>11</v>
      </c>
      <c r="B14" s="49">
        <v>0.1</v>
      </c>
      <c r="C14" s="12">
        <v>-4.0580100000000003</v>
      </c>
      <c r="D14" s="12">
        <v>0.97777000000000003</v>
      </c>
      <c r="E14" s="12">
        <v>1.65265</v>
      </c>
      <c r="F14" s="12">
        <v>0.25877</v>
      </c>
      <c r="G14" s="118">
        <v>0.2</v>
      </c>
      <c r="H14" s="12">
        <v>0</v>
      </c>
      <c r="I14" s="12">
        <v>0.31619000000000003</v>
      </c>
      <c r="J14" s="12">
        <v>-3.6510000000000001E-2</v>
      </c>
      <c r="K14" s="12">
        <v>3.2629999999999999E-2</v>
      </c>
      <c r="L14" s="12">
        <v>-1.54267</v>
      </c>
      <c r="M14" s="12">
        <v>2.3052600000000001</v>
      </c>
      <c r="N14" s="12">
        <v>-0.62466999999999995</v>
      </c>
      <c r="O14" s="12">
        <v>-9.5399999999999999E-3</v>
      </c>
      <c r="P14" s="12">
        <v>-16.057500000000001</v>
      </c>
      <c r="Q14" s="12">
        <v>1.2044222603776298</v>
      </c>
      <c r="R14" s="12">
        <v>0.24127000000000001</v>
      </c>
      <c r="S14" s="12">
        <v>0.38866000000000001</v>
      </c>
      <c r="T14" s="12">
        <v>0.25778000000000001</v>
      </c>
      <c r="U14">
        <v>0.71199999999999997</v>
      </c>
      <c r="V14">
        <v>0.42299999999999999</v>
      </c>
      <c r="W14">
        <v>0.82799999999999996</v>
      </c>
      <c r="X14" s="126">
        <v>0.44900000000000001</v>
      </c>
      <c r="Y14" s="33">
        <v>0.24437086099999999</v>
      </c>
      <c r="Z14" s="33">
        <v>0</v>
      </c>
      <c r="AA14" s="33">
        <v>-0.13981221752507039</v>
      </c>
      <c r="AB14" s="33">
        <v>-0.34037746920059631</v>
      </c>
      <c r="AC14" s="33">
        <v>-0.51659015944606879</v>
      </c>
      <c r="AD14" s="126">
        <v>0.63500000000000001</v>
      </c>
      <c r="AE14" s="126">
        <v>0.499</v>
      </c>
      <c r="AF14" s="126">
        <v>0.40400000000000003</v>
      </c>
      <c r="AG14" s="126">
        <v>0.53200000000000003</v>
      </c>
      <c r="AH14" s="126">
        <v>0.44700000000000001</v>
      </c>
      <c r="AI14" s="126">
        <v>0.51200000000000001</v>
      </c>
      <c r="AJ14">
        <v>0.23799999999999999</v>
      </c>
      <c r="AK14">
        <v>0.53800000000000003</v>
      </c>
      <c r="AM14" s="3"/>
      <c r="AN14" s="3"/>
      <c r="AO14" s="32"/>
      <c r="AP14" s="3"/>
      <c r="AR14" s="3"/>
      <c r="AS14" s="3"/>
      <c r="AT14" s="3"/>
      <c r="AU14" s="3"/>
      <c r="AX14" s="33"/>
      <c r="AY14" s="49"/>
      <c r="AZ14" s="33"/>
      <c r="BA14" s="33"/>
      <c r="BB14" s="33"/>
      <c r="BC14" s="33"/>
      <c r="BO14" s="13"/>
      <c r="BP14" s="42"/>
      <c r="BQ14" s="42"/>
      <c r="BS14" s="3"/>
      <c r="BT14" s="42"/>
      <c r="BU14" s="42"/>
      <c r="BV14" s="42"/>
      <c r="BW14" s="3"/>
      <c r="BX14" s="3"/>
      <c r="BY14" s="3"/>
      <c r="BZ14" s="3"/>
      <c r="CA14" s="42"/>
      <c r="CB14" s="42"/>
      <c r="CC14" s="42"/>
      <c r="CD14" s="42"/>
      <c r="CE14" s="42"/>
      <c r="CF14" s="56"/>
      <c r="CJ14" s="32"/>
      <c r="CK14" s="32"/>
      <c r="CL14" s="3"/>
      <c r="CM14" s="3"/>
      <c r="CQ14" s="32"/>
      <c r="CR14" s="32"/>
      <c r="CS14" s="42"/>
      <c r="CT14" s="3"/>
      <c r="CX14" s="32"/>
      <c r="CY14" s="32"/>
      <c r="CZ14" s="43"/>
      <c r="DA14" s="42"/>
      <c r="DB14" s="42"/>
      <c r="DC14" s="42"/>
      <c r="DD14" s="42"/>
      <c r="DE14" s="42"/>
      <c r="DF14" s="42"/>
      <c r="DG14" s="42"/>
      <c r="DH14" s="42"/>
      <c r="DI14" s="42"/>
      <c r="DK14" s="13"/>
      <c r="DM14" s="3"/>
    </row>
    <row r="15" spans="1:117" ht="15.4" x14ac:dyDescent="0.55000000000000004">
      <c r="A15">
        <v>12</v>
      </c>
      <c r="B15" s="49">
        <v>0.12</v>
      </c>
      <c r="C15" s="12">
        <v>-4.2071800000000001</v>
      </c>
      <c r="D15" s="12">
        <v>0.98673</v>
      </c>
      <c r="E15" s="12">
        <v>1.59552</v>
      </c>
      <c r="F15" s="12">
        <v>0.22181000000000001</v>
      </c>
      <c r="G15" s="118">
        <v>0.2</v>
      </c>
      <c r="H15" s="12">
        <v>0</v>
      </c>
      <c r="I15" s="12">
        <v>0.31774000000000002</v>
      </c>
      <c r="J15" s="12">
        <v>-1.58E-3</v>
      </c>
      <c r="K15" s="12">
        <v>2.971E-2</v>
      </c>
      <c r="L15" s="12">
        <v>-1.47438</v>
      </c>
      <c r="M15" s="12">
        <v>2.3928400000000001</v>
      </c>
      <c r="N15" s="12">
        <v>-0.59460000000000002</v>
      </c>
      <c r="O15" s="12">
        <v>-1.0030000000000001E-2</v>
      </c>
      <c r="P15" s="12">
        <v>-16.49728</v>
      </c>
      <c r="Q15" s="12">
        <v>1.2312131695488677</v>
      </c>
      <c r="R15" s="12">
        <v>0.2697</v>
      </c>
      <c r="S15" s="12">
        <v>0.40893000000000002</v>
      </c>
      <c r="T15" s="12">
        <v>0.28994999999999999</v>
      </c>
      <c r="U15">
        <v>0.70699999999999996</v>
      </c>
      <c r="V15">
        <v>0.39200000000000002</v>
      </c>
      <c r="W15">
        <v>0.80800000000000005</v>
      </c>
      <c r="X15" s="126">
        <v>0.44</v>
      </c>
      <c r="Y15" s="33">
        <v>0.25827814599999999</v>
      </c>
      <c r="Z15" s="33">
        <v>0</v>
      </c>
      <c r="AA15" s="33">
        <v>-0.14467275838105484</v>
      </c>
      <c r="AB15" s="33">
        <v>-0.35228401881575605</v>
      </c>
      <c r="AC15" s="33">
        <v>-0.53473207859188521</v>
      </c>
      <c r="AD15" s="126">
        <v>0.64900000000000002</v>
      </c>
      <c r="AE15" s="126">
        <v>0.52100000000000002</v>
      </c>
      <c r="AF15" s="126">
        <v>0.377</v>
      </c>
      <c r="AG15" s="126">
        <v>0.53700000000000003</v>
      </c>
      <c r="AH15" s="126">
        <v>0.44</v>
      </c>
      <c r="AI15" s="126">
        <v>0.50700000000000001</v>
      </c>
      <c r="AJ15">
        <v>0.249</v>
      </c>
      <c r="AK15">
        <v>0.52500000000000002</v>
      </c>
      <c r="AM15" s="3"/>
      <c r="AN15" s="3"/>
      <c r="AO15" s="32"/>
      <c r="AP15" s="3"/>
      <c r="AR15" s="3"/>
      <c r="AS15" s="3"/>
      <c r="AT15" s="3"/>
      <c r="AU15" s="3"/>
      <c r="AX15" s="33"/>
      <c r="AY15" s="49"/>
      <c r="AZ15" s="33"/>
      <c r="BA15" s="33"/>
      <c r="BB15" s="33"/>
      <c r="BC15" s="33"/>
      <c r="BO15" s="13"/>
      <c r="BP15" s="42"/>
      <c r="BQ15" s="42"/>
      <c r="BS15" s="3"/>
      <c r="BT15" s="42"/>
      <c r="BU15" s="42"/>
      <c r="BV15" s="42"/>
      <c r="BW15" s="3"/>
      <c r="BX15" s="3"/>
      <c r="BY15" s="3"/>
      <c r="BZ15" s="3"/>
      <c r="CA15" s="42"/>
      <c r="CB15" s="42"/>
      <c r="CC15" s="42"/>
      <c r="CD15" s="42"/>
      <c r="CE15" s="42"/>
      <c r="CF15" s="56"/>
      <c r="CJ15" s="32"/>
      <c r="CK15" s="32"/>
      <c r="CL15" s="3"/>
      <c r="CM15" s="3"/>
      <c r="CQ15" s="32"/>
      <c r="CR15" s="32"/>
      <c r="CS15" s="42"/>
      <c r="CT15" s="3"/>
      <c r="CX15" s="32"/>
      <c r="CY15" s="32"/>
      <c r="CZ15" s="43"/>
      <c r="DA15" s="42"/>
      <c r="DB15" s="42"/>
      <c r="DC15" s="42"/>
      <c r="DD15" s="42"/>
      <c r="DE15" s="42"/>
      <c r="DF15" s="42"/>
      <c r="DG15" s="42"/>
      <c r="DH15" s="42"/>
      <c r="DI15" s="42"/>
      <c r="DK15" s="13"/>
      <c r="DM15" s="3"/>
    </row>
    <row r="16" spans="1:117" ht="15.4" x14ac:dyDescent="0.55000000000000004">
      <c r="A16">
        <v>13</v>
      </c>
      <c r="B16" s="49">
        <v>0.14000000000000001</v>
      </c>
      <c r="C16" s="12">
        <v>-4.3479999999999999</v>
      </c>
      <c r="D16" s="12">
        <v>0.99414999999999998</v>
      </c>
      <c r="E16" s="12">
        <v>1.55325</v>
      </c>
      <c r="F16" s="12">
        <v>0.19037000000000001</v>
      </c>
      <c r="G16" s="118">
        <v>0.2</v>
      </c>
      <c r="H16" s="12">
        <v>0</v>
      </c>
      <c r="I16" s="12">
        <v>0.31330000000000002</v>
      </c>
      <c r="J16" s="12">
        <v>2.5669999999999998E-2</v>
      </c>
      <c r="K16" s="12">
        <v>2.7E-2</v>
      </c>
      <c r="L16" s="12">
        <v>-1.4458899999999999</v>
      </c>
      <c r="M16" s="12">
        <v>2.4777</v>
      </c>
      <c r="N16" s="12">
        <v>-0.56781000000000004</v>
      </c>
      <c r="O16" s="12">
        <v>-1.027E-2</v>
      </c>
      <c r="P16" s="12">
        <v>-16.923100000000002</v>
      </c>
      <c r="Q16" s="12">
        <v>1.2712491503214047</v>
      </c>
      <c r="R16" s="12">
        <v>0.31106</v>
      </c>
      <c r="S16" s="12">
        <v>0.45179000000000002</v>
      </c>
      <c r="T16" s="12">
        <v>0.34447</v>
      </c>
      <c r="U16">
        <v>0.69699999999999995</v>
      </c>
      <c r="V16">
        <v>0.36599999999999999</v>
      </c>
      <c r="W16">
        <v>0.78800000000000003</v>
      </c>
      <c r="X16">
        <v>0.42599999999999999</v>
      </c>
      <c r="Y16" s="33">
        <v>0.26556291399999998</v>
      </c>
      <c r="Z16" s="33">
        <v>0</v>
      </c>
      <c r="AA16" s="33">
        <v>-0.14479961537817845</v>
      </c>
      <c r="AB16" s="33">
        <v>-0.35708687014568702</v>
      </c>
      <c r="AC16" s="33">
        <v>-0.55176311804989997</v>
      </c>
      <c r="AD16">
        <v>0.59299999999999997</v>
      </c>
      <c r="AE16">
        <v>0.55000000000000004</v>
      </c>
      <c r="AF16">
        <v>0.38800000000000001</v>
      </c>
      <c r="AG16">
        <v>0.53600000000000003</v>
      </c>
      <c r="AH16">
        <v>0.41799999999999998</v>
      </c>
      <c r="AI16">
        <v>0.51400000000000001</v>
      </c>
      <c r="AJ16">
        <v>0.29799999999999999</v>
      </c>
      <c r="AK16">
        <v>0.49</v>
      </c>
      <c r="AM16" s="3"/>
      <c r="AN16" s="3"/>
      <c r="AO16" s="32"/>
      <c r="AP16" s="3"/>
      <c r="AR16" s="3"/>
      <c r="AS16" s="3"/>
      <c r="AT16" s="3"/>
      <c r="AU16" s="3"/>
      <c r="AX16" s="33"/>
      <c r="AY16" s="49"/>
      <c r="AZ16" s="33"/>
      <c r="BA16" s="33"/>
      <c r="BB16" s="33"/>
      <c r="BC16" s="33"/>
      <c r="BO16" s="13"/>
      <c r="BP16" s="42"/>
      <c r="BQ16" s="42"/>
      <c r="BS16" s="3"/>
      <c r="BT16" s="42"/>
      <c r="BU16" s="42"/>
      <c r="BV16" s="42"/>
      <c r="BW16" s="3"/>
      <c r="BX16" s="3"/>
      <c r="BY16" s="3"/>
      <c r="BZ16" s="3"/>
      <c r="CA16" s="42"/>
      <c r="CB16" s="42"/>
      <c r="CC16" s="42"/>
      <c r="CD16" s="42"/>
      <c r="CE16" s="42"/>
      <c r="CF16" s="56"/>
      <c r="CJ16" s="32"/>
      <c r="CK16" s="32"/>
      <c r="CL16" s="3"/>
      <c r="CM16" s="3"/>
      <c r="CQ16" s="32"/>
      <c r="CR16" s="32"/>
      <c r="CS16" s="42"/>
      <c r="CT16" s="3"/>
      <c r="CX16" s="32"/>
      <c r="CY16" s="32"/>
      <c r="CZ16" s="43"/>
      <c r="DA16" s="42"/>
      <c r="DB16" s="42"/>
      <c r="DC16" s="42"/>
      <c r="DD16" s="42"/>
      <c r="DE16" s="42"/>
      <c r="DF16" s="42"/>
      <c r="DG16" s="42"/>
      <c r="DH16" s="42"/>
      <c r="DI16" s="42"/>
      <c r="DK16" s="13"/>
      <c r="DM16" s="3"/>
    </row>
    <row r="17" spans="1:117" ht="15.4" x14ac:dyDescent="0.55000000000000004">
      <c r="A17">
        <v>14</v>
      </c>
      <c r="B17" s="49">
        <v>0.15</v>
      </c>
      <c r="C17" s="12">
        <v>-4.4145200000000004</v>
      </c>
      <c r="D17" s="12">
        <v>0.99748999999999999</v>
      </c>
      <c r="E17" s="12">
        <v>1.53731</v>
      </c>
      <c r="F17" s="12">
        <v>0.17560999999999999</v>
      </c>
      <c r="G17" s="118">
        <v>0.2</v>
      </c>
      <c r="H17" s="12">
        <v>0</v>
      </c>
      <c r="I17" s="12">
        <v>0.30895</v>
      </c>
      <c r="J17" s="12">
        <v>4.0329999999999998E-2</v>
      </c>
      <c r="K17" s="12">
        <v>2.581E-2</v>
      </c>
      <c r="L17" s="12">
        <v>-1.44299</v>
      </c>
      <c r="M17" s="12">
        <v>2.5188100000000002</v>
      </c>
      <c r="N17" s="12">
        <v>-0.55444000000000004</v>
      </c>
      <c r="O17" s="12">
        <v>-1.031E-2</v>
      </c>
      <c r="P17" s="12">
        <v>-17.130520000000001</v>
      </c>
      <c r="Q17" s="12">
        <v>1.2917527279397041</v>
      </c>
      <c r="R17" s="12">
        <v>0.33306999999999998</v>
      </c>
      <c r="S17" s="12">
        <v>0.47697000000000001</v>
      </c>
      <c r="T17" s="12">
        <v>0.37440000000000001</v>
      </c>
      <c r="U17">
        <v>0.69499999999999995</v>
      </c>
      <c r="V17">
        <v>0.35699999999999998</v>
      </c>
      <c r="W17">
        <v>0.78100000000000003</v>
      </c>
      <c r="X17">
        <v>0.41599999999999998</v>
      </c>
      <c r="Y17" s="33">
        <v>0.26688741700000002</v>
      </c>
      <c r="Z17" s="33">
        <v>0</v>
      </c>
      <c r="AA17" s="33">
        <v>-0.14329989404601462</v>
      </c>
      <c r="AB17" s="33">
        <v>-0.35736473505132199</v>
      </c>
      <c r="AC17" s="33">
        <v>-0.55729760787099003</v>
      </c>
      <c r="AD17" s="126">
        <v>0.55600000000000005</v>
      </c>
      <c r="AE17" s="126">
        <v>0.55500000000000005</v>
      </c>
      <c r="AF17" s="126">
        <v>0.39200000000000002</v>
      </c>
      <c r="AG17" s="126">
        <v>0.54400000000000004</v>
      </c>
      <c r="AH17" s="126">
        <v>0.40100000000000002</v>
      </c>
      <c r="AI17" s="126">
        <v>0.51600000000000001</v>
      </c>
      <c r="AJ17">
        <v>0.308</v>
      </c>
      <c r="AK17">
        <v>0.44800000000000001</v>
      </c>
      <c r="AM17" s="3"/>
      <c r="AN17" s="3"/>
      <c r="AO17" s="32"/>
      <c r="AP17" s="3"/>
      <c r="AR17" s="3"/>
      <c r="AS17" s="3"/>
      <c r="AT17" s="3"/>
      <c r="AU17" s="3"/>
      <c r="AX17" s="33"/>
      <c r="AY17" s="49"/>
      <c r="AZ17" s="33"/>
      <c r="BA17" s="33"/>
      <c r="BB17" s="33"/>
      <c r="BC17" s="33"/>
      <c r="BO17" s="13"/>
      <c r="BP17" s="42"/>
      <c r="BQ17" s="42"/>
      <c r="BS17" s="3"/>
      <c r="BT17" s="42"/>
      <c r="BU17" s="42"/>
      <c r="BV17" s="42"/>
      <c r="BW17" s="3"/>
      <c r="BX17" s="3"/>
      <c r="BY17" s="3"/>
      <c r="BZ17" s="3"/>
      <c r="CA17" s="42"/>
      <c r="CB17" s="42"/>
      <c r="CC17" s="42"/>
      <c r="CD17" s="42"/>
      <c r="CE17" s="42"/>
      <c r="CF17" s="56"/>
      <c r="CJ17" s="32"/>
      <c r="CK17" s="32"/>
      <c r="CL17" s="3"/>
      <c r="CM17" s="3"/>
      <c r="CQ17" s="32"/>
      <c r="CR17" s="32"/>
      <c r="CS17" s="42"/>
      <c r="CT17" s="3"/>
      <c r="CX17" s="32"/>
      <c r="CY17" s="32"/>
      <c r="CZ17" s="43"/>
      <c r="DA17" s="42"/>
      <c r="DB17" s="42"/>
      <c r="DC17" s="42"/>
      <c r="DD17" s="42"/>
      <c r="DE17" s="42"/>
      <c r="DF17" s="42"/>
      <c r="DG17" s="42"/>
      <c r="DH17" s="42"/>
      <c r="DI17" s="42"/>
      <c r="DK17" s="13"/>
      <c r="DM17" s="3"/>
    </row>
    <row r="18" spans="1:117" ht="15.4" x14ac:dyDescent="0.55000000000000004">
      <c r="A18">
        <v>15</v>
      </c>
      <c r="B18" s="49">
        <v>0.16</v>
      </c>
      <c r="C18" s="12">
        <v>-4.4782900000000003</v>
      </c>
      <c r="D18" s="12">
        <v>1.0006200000000001</v>
      </c>
      <c r="E18" s="12">
        <v>1.5238100000000001</v>
      </c>
      <c r="F18" s="12">
        <v>0.16239999999999999</v>
      </c>
      <c r="G18" s="118">
        <v>0.2</v>
      </c>
      <c r="H18" s="12">
        <v>0</v>
      </c>
      <c r="I18" s="12">
        <v>0.30375000000000002</v>
      </c>
      <c r="J18" s="12">
        <v>5.2440000000000001E-2</v>
      </c>
      <c r="K18" s="12">
        <v>2.477E-2</v>
      </c>
      <c r="L18" s="12">
        <v>-1.44387</v>
      </c>
      <c r="M18" s="12">
        <v>2.55884</v>
      </c>
      <c r="N18" s="12">
        <v>-0.54149000000000003</v>
      </c>
      <c r="O18" s="12">
        <v>-1.0319999999999999E-2</v>
      </c>
      <c r="P18" s="12">
        <v>-17.33475</v>
      </c>
      <c r="Q18" s="12">
        <v>1.3139002448247392</v>
      </c>
      <c r="R18" s="12">
        <v>0.35460000000000003</v>
      </c>
      <c r="S18" s="12">
        <v>0.49839</v>
      </c>
      <c r="T18" s="12">
        <v>0.40444999999999998</v>
      </c>
      <c r="U18">
        <v>0.69299999999999995</v>
      </c>
      <c r="V18">
        <v>0.35099999999999998</v>
      </c>
      <c r="W18">
        <v>0.77700000000000002</v>
      </c>
      <c r="X18">
        <v>0.40600000000000003</v>
      </c>
      <c r="Y18" s="33">
        <v>0.26754966899999999</v>
      </c>
      <c r="Z18" s="33">
        <v>0</v>
      </c>
      <c r="AA18" s="33">
        <v>-0.14075853278565548</v>
      </c>
      <c r="AB18" s="33">
        <v>-0.35630254066512901</v>
      </c>
      <c r="AC18" s="33">
        <v>-0.56521774654297396</v>
      </c>
      <c r="AD18">
        <v>0.51900000000000002</v>
      </c>
      <c r="AE18">
        <v>0.55700000000000005</v>
      </c>
      <c r="AF18">
        <v>0.39</v>
      </c>
      <c r="AG18">
        <v>0.55100000000000005</v>
      </c>
      <c r="AH18">
        <v>0.39400000000000002</v>
      </c>
      <c r="AI18">
        <v>0.51600000000000001</v>
      </c>
      <c r="AJ18">
        <v>0.33</v>
      </c>
      <c r="AK18">
        <v>0.438</v>
      </c>
      <c r="AM18" s="3"/>
      <c r="AN18" s="3"/>
      <c r="AO18" s="32"/>
      <c r="AP18" s="3"/>
      <c r="AR18" s="3"/>
      <c r="AS18" s="3"/>
      <c r="AT18" s="3"/>
      <c r="AU18" s="3"/>
      <c r="AX18" s="33"/>
      <c r="AY18" s="49"/>
      <c r="AZ18" s="33"/>
      <c r="BA18" s="33"/>
      <c r="BB18" s="33"/>
      <c r="BC18" s="33"/>
      <c r="BO18" s="13"/>
      <c r="BP18" s="42"/>
      <c r="BQ18" s="42"/>
      <c r="BS18" s="3"/>
      <c r="BT18" s="42"/>
      <c r="BU18" s="42"/>
      <c r="BV18" s="42"/>
      <c r="BW18" s="3"/>
      <c r="BX18" s="3"/>
      <c r="BY18" s="3"/>
      <c r="BZ18" s="3"/>
      <c r="CA18" s="42"/>
      <c r="CB18" s="42"/>
      <c r="CC18" s="42"/>
      <c r="CD18" s="42"/>
      <c r="CE18" s="42"/>
      <c r="CF18" s="56"/>
      <c r="CJ18" s="32"/>
      <c r="CK18" s="32"/>
      <c r="CL18" s="3"/>
      <c r="CM18" s="3"/>
      <c r="CQ18" s="32"/>
      <c r="CR18" s="32"/>
      <c r="CS18" s="42"/>
      <c r="CT18" s="3"/>
      <c r="CX18" s="32"/>
      <c r="CY18" s="32"/>
      <c r="CZ18" s="43"/>
      <c r="DA18" s="42"/>
      <c r="DB18" s="42"/>
      <c r="DC18" s="42"/>
      <c r="DD18" s="42"/>
      <c r="DE18" s="42"/>
      <c r="DF18" s="42"/>
      <c r="DG18" s="42"/>
      <c r="DH18" s="42"/>
      <c r="DI18" s="42"/>
      <c r="DK18" s="13"/>
      <c r="DM18" s="3"/>
    </row>
    <row r="19" spans="1:117" ht="15.4" x14ac:dyDescent="0.55000000000000004">
      <c r="A19">
        <v>16</v>
      </c>
      <c r="B19" s="49">
        <v>0.18</v>
      </c>
      <c r="C19" s="12">
        <v>-4.6010299999999997</v>
      </c>
      <c r="D19" s="12">
        <v>1.0063599999999999</v>
      </c>
      <c r="E19" s="12">
        <v>1.50169</v>
      </c>
      <c r="F19" s="12">
        <v>0.13689999999999999</v>
      </c>
      <c r="G19" s="118">
        <v>0.2</v>
      </c>
      <c r="H19" s="12">
        <v>0</v>
      </c>
      <c r="I19" s="12">
        <v>0.29160000000000003</v>
      </c>
      <c r="J19" s="12">
        <v>7.3209999999999997E-2</v>
      </c>
      <c r="K19" s="12">
        <v>2.3120000000000002E-2</v>
      </c>
      <c r="L19" s="12">
        <v>-1.4542900000000001</v>
      </c>
      <c r="M19" s="12">
        <v>2.63476</v>
      </c>
      <c r="N19" s="12">
        <v>-0.51687000000000005</v>
      </c>
      <c r="O19" s="12">
        <v>-1.023E-2</v>
      </c>
      <c r="P19" s="12">
        <v>-17.71162</v>
      </c>
      <c r="Q19" s="12">
        <v>1.3498588075760032</v>
      </c>
      <c r="R19" s="12">
        <v>0.38943</v>
      </c>
      <c r="S19" s="12">
        <v>0.54342000000000001</v>
      </c>
      <c r="T19" s="12">
        <v>0.46303</v>
      </c>
      <c r="U19">
        <v>0.69299999999999995</v>
      </c>
      <c r="V19">
        <v>0.33500000000000002</v>
      </c>
      <c r="W19">
        <v>0.77</v>
      </c>
      <c r="X19">
        <v>0.4</v>
      </c>
      <c r="Y19" s="33">
        <v>0.26688741700000002</v>
      </c>
      <c r="Z19" s="33">
        <v>0</v>
      </c>
      <c r="AA19" s="33">
        <v>-0.13316187899996684</v>
      </c>
      <c r="AB19" s="33">
        <v>-0.34961828213122897</v>
      </c>
      <c r="AC19" s="33">
        <v>-0.57844150692326601</v>
      </c>
      <c r="AD19">
        <v>0.433</v>
      </c>
      <c r="AE19">
        <v>0.56299999999999994</v>
      </c>
      <c r="AF19">
        <v>0.40600000000000003</v>
      </c>
      <c r="AG19">
        <v>0.56000000000000005</v>
      </c>
      <c r="AH19">
        <v>0.39700000000000002</v>
      </c>
      <c r="AI19">
        <v>0.51200000000000001</v>
      </c>
      <c r="AJ19">
        <v>0.308</v>
      </c>
      <c r="AK19">
        <v>0.45500000000000002</v>
      </c>
      <c r="AM19" s="3"/>
      <c r="AN19" s="3"/>
      <c r="AO19" s="32"/>
      <c r="AP19" s="3"/>
      <c r="AR19" s="3"/>
      <c r="AS19" s="3"/>
      <c r="AT19" s="3"/>
      <c r="AU19" s="3"/>
      <c r="AX19" s="33"/>
      <c r="AY19" s="49"/>
      <c r="AZ19" s="33"/>
      <c r="BA19" s="33"/>
      <c r="BB19" s="33"/>
      <c r="BC19" s="33"/>
      <c r="BO19" s="13"/>
      <c r="BP19" s="42"/>
      <c r="BQ19" s="42"/>
      <c r="BS19" s="3"/>
      <c r="BT19" s="42"/>
      <c r="BU19" s="42"/>
      <c r="BV19" s="42"/>
      <c r="BW19" s="3"/>
      <c r="BX19" s="3"/>
      <c r="BY19" s="3"/>
      <c r="BZ19" s="3"/>
      <c r="CA19" s="42"/>
      <c r="CB19" s="42"/>
      <c r="CC19" s="42"/>
      <c r="CD19" s="42"/>
      <c r="CE19" s="42"/>
      <c r="CF19" s="56"/>
      <c r="CJ19" s="32"/>
      <c r="CK19" s="32"/>
      <c r="CL19" s="3"/>
      <c r="CM19" s="3"/>
      <c r="CQ19" s="32"/>
      <c r="CR19" s="32"/>
      <c r="CS19" s="42"/>
      <c r="CT19" s="3"/>
      <c r="CX19" s="32"/>
      <c r="CY19" s="32"/>
      <c r="CZ19" s="43"/>
      <c r="DA19" s="42"/>
      <c r="DB19" s="42"/>
      <c r="DC19" s="42"/>
      <c r="DD19" s="42"/>
      <c r="DE19" s="42"/>
      <c r="DF19" s="42"/>
      <c r="DG19" s="42"/>
      <c r="DH19" s="42"/>
      <c r="DI19" s="42"/>
      <c r="DK19" s="13"/>
      <c r="DM19" s="3"/>
    </row>
    <row r="20" spans="1:117" ht="15.4" x14ac:dyDescent="0.55000000000000004">
      <c r="A20">
        <v>17</v>
      </c>
      <c r="B20" s="49">
        <v>0.2</v>
      </c>
      <c r="C20" s="12">
        <v>-4.6988599999999998</v>
      </c>
      <c r="D20" s="12">
        <v>1.0115099999999999</v>
      </c>
      <c r="E20" s="12">
        <v>1.4866600000000001</v>
      </c>
      <c r="F20" s="12">
        <v>0.11519</v>
      </c>
      <c r="G20" s="118">
        <v>0.2</v>
      </c>
      <c r="H20" s="12">
        <v>0</v>
      </c>
      <c r="I20" s="12">
        <v>0.27811000000000002</v>
      </c>
      <c r="J20" s="12">
        <v>9.0749999999999997E-2</v>
      </c>
      <c r="K20" s="12">
        <v>2.2009999999999998E-2</v>
      </c>
      <c r="L20" s="12">
        <v>-1.4756100000000001</v>
      </c>
      <c r="M20" s="12">
        <v>2.7060499999999998</v>
      </c>
      <c r="N20" s="12">
        <v>-0.49392999999999998</v>
      </c>
      <c r="O20" s="12">
        <v>-1.004E-2</v>
      </c>
      <c r="P20" s="12">
        <v>-18.060790000000001</v>
      </c>
      <c r="Q20" s="12">
        <v>1.3798847759572466</v>
      </c>
      <c r="R20" s="12">
        <v>0.41876000000000002</v>
      </c>
      <c r="S20" s="12">
        <v>0.58206000000000002</v>
      </c>
      <c r="T20" s="12">
        <v>0.51798999999999995</v>
      </c>
      <c r="U20">
        <v>0.69499999999999995</v>
      </c>
      <c r="V20">
        <v>0.33300000000000002</v>
      </c>
      <c r="W20">
        <v>0.77100000000000002</v>
      </c>
      <c r="X20">
        <v>0.39700000000000002</v>
      </c>
      <c r="Y20" s="33">
        <v>0.26423841100000001</v>
      </c>
      <c r="Z20" s="33">
        <v>0</v>
      </c>
      <c r="AA20" s="33">
        <v>-0.12297141320713778</v>
      </c>
      <c r="AB20" s="33">
        <v>-0.337244432967858</v>
      </c>
      <c r="AC20" s="33">
        <v>-0.586134906554171</v>
      </c>
      <c r="AD20">
        <v>0.38900000000000001</v>
      </c>
      <c r="AE20">
        <v>0.56000000000000005</v>
      </c>
      <c r="AF20">
        <v>0.41199999999999998</v>
      </c>
      <c r="AG20">
        <v>0.56799999999999995</v>
      </c>
      <c r="AH20">
        <v>0.40300000000000002</v>
      </c>
      <c r="AI20">
        <v>0.51500000000000001</v>
      </c>
      <c r="AJ20">
        <v>0.27600000000000002</v>
      </c>
      <c r="AK20">
        <v>0.437</v>
      </c>
      <c r="AM20" s="3"/>
      <c r="AN20" s="3"/>
      <c r="AO20" s="32"/>
      <c r="AP20" s="3"/>
      <c r="AR20" s="3"/>
      <c r="AS20" s="3"/>
      <c r="AT20" s="3"/>
      <c r="AU20" s="3"/>
      <c r="AX20" s="33"/>
      <c r="AY20" s="49"/>
      <c r="AZ20" s="33"/>
      <c r="BA20" s="33"/>
      <c r="BB20" s="33"/>
      <c r="BC20" s="33"/>
      <c r="BO20" s="13"/>
      <c r="BP20" s="42"/>
      <c r="BQ20" s="42"/>
      <c r="BS20" s="3"/>
      <c r="BT20" s="42"/>
      <c r="BU20" s="42"/>
      <c r="BV20" s="42"/>
      <c r="BW20" s="3"/>
      <c r="BX20" s="3"/>
      <c r="BY20" s="3"/>
      <c r="BZ20" s="3"/>
      <c r="CA20" s="42"/>
      <c r="CB20" s="42"/>
      <c r="CC20" s="42"/>
      <c r="CD20" s="42"/>
      <c r="CE20" s="42"/>
      <c r="CF20" s="56"/>
      <c r="CJ20" s="32"/>
      <c r="CK20" s="32"/>
      <c r="CL20" s="3"/>
      <c r="CM20" s="3"/>
      <c r="CQ20" s="32"/>
      <c r="CR20" s="32"/>
      <c r="CS20" s="42"/>
      <c r="CT20" s="3"/>
      <c r="CX20" s="32"/>
      <c r="CY20" s="32"/>
      <c r="CZ20" s="43"/>
      <c r="DA20" s="42"/>
      <c r="DB20" s="42"/>
      <c r="DC20" s="42"/>
      <c r="DD20" s="42"/>
      <c r="DE20" s="42"/>
      <c r="DF20" s="42"/>
      <c r="DG20" s="42"/>
      <c r="DH20" s="42"/>
      <c r="DI20" s="42"/>
      <c r="DK20" s="13"/>
      <c r="DM20" s="3"/>
    </row>
    <row r="21" spans="1:117" ht="15.4" x14ac:dyDescent="0.55000000000000004">
      <c r="A21">
        <v>18</v>
      </c>
      <c r="B21" s="49">
        <v>0.25</v>
      </c>
      <c r="C21" s="12">
        <v>-4.8856200000000003</v>
      </c>
      <c r="D21" s="12">
        <v>1.0224500000000001</v>
      </c>
      <c r="E21" s="12">
        <v>1.4679500000000001</v>
      </c>
      <c r="F21" s="12">
        <v>7.1309999999999998E-2</v>
      </c>
      <c r="G21" s="118">
        <v>0.2</v>
      </c>
      <c r="H21" s="12">
        <v>0</v>
      </c>
      <c r="I21" s="12">
        <v>0.24410999999999999</v>
      </c>
      <c r="J21" s="12">
        <v>0.12617999999999999</v>
      </c>
      <c r="K21" s="12">
        <v>2.052E-2</v>
      </c>
      <c r="L21" s="12">
        <v>-1.56081</v>
      </c>
      <c r="M21" s="12">
        <v>2.8624700000000001</v>
      </c>
      <c r="N21" s="12">
        <v>-0.44314999999999999</v>
      </c>
      <c r="O21" s="12">
        <v>-9.3100000000000006E-3</v>
      </c>
      <c r="P21" s="12">
        <v>-18.806809999999999</v>
      </c>
      <c r="Q21" s="12">
        <v>1.4233311434336018</v>
      </c>
      <c r="R21" s="12">
        <v>0.45837</v>
      </c>
      <c r="S21" s="12">
        <v>0.66935</v>
      </c>
      <c r="T21" s="12">
        <v>0.62970999999999999</v>
      </c>
      <c r="U21">
        <v>0.68500000000000005</v>
      </c>
      <c r="V21">
        <v>0.32600000000000001</v>
      </c>
      <c r="W21">
        <v>0.75800000000000001</v>
      </c>
      <c r="X21">
        <v>0.38300000000000001</v>
      </c>
      <c r="Y21" s="33">
        <v>0.25298013200000002</v>
      </c>
      <c r="Z21" s="33">
        <v>0</v>
      </c>
      <c r="AA21" s="33">
        <v>-9.0423576969183281E-2</v>
      </c>
      <c r="AB21" s="33">
        <v>-0.30178327993566001</v>
      </c>
      <c r="AC21" s="33">
        <v>-0.59822022336502501</v>
      </c>
      <c r="AD21">
        <v>0.28799999999999998</v>
      </c>
      <c r="AE21">
        <v>0.53800000000000003</v>
      </c>
      <c r="AF21">
        <v>0.41499999999999998</v>
      </c>
      <c r="AG21">
        <v>0.56999999999999995</v>
      </c>
      <c r="AH21">
        <v>0.39300000000000002</v>
      </c>
      <c r="AI21">
        <v>0.51200000000000001</v>
      </c>
      <c r="AJ21">
        <v>0.24</v>
      </c>
      <c r="AK21">
        <v>0.435</v>
      </c>
      <c r="AM21" s="3"/>
      <c r="AN21" s="3"/>
      <c r="AO21" s="32"/>
      <c r="AP21" s="3"/>
      <c r="AR21" s="3"/>
      <c r="AS21" s="3"/>
      <c r="AT21" s="3"/>
      <c r="AU21" s="3"/>
      <c r="AX21" s="33"/>
      <c r="AY21" s="49"/>
      <c r="AZ21" s="33"/>
      <c r="BA21" s="33"/>
      <c r="BB21" s="33"/>
      <c r="BC21" s="33"/>
      <c r="BO21" s="13"/>
      <c r="BP21" s="42"/>
      <c r="BQ21" s="42"/>
      <c r="BS21" s="3"/>
      <c r="BT21" s="42"/>
      <c r="BU21" s="42"/>
      <c r="BV21" s="42"/>
      <c r="BW21" s="3"/>
      <c r="BX21" s="3"/>
      <c r="BY21" s="3"/>
      <c r="BZ21" s="3"/>
      <c r="CA21" s="42"/>
      <c r="CB21" s="42"/>
      <c r="CC21" s="42"/>
      <c r="CD21" s="42"/>
      <c r="CE21" s="42"/>
      <c r="CF21" s="56"/>
      <c r="CJ21" s="32"/>
      <c r="CK21" s="32"/>
      <c r="CL21" s="3"/>
      <c r="CM21" s="3"/>
      <c r="CQ21" s="32"/>
      <c r="CR21" s="32"/>
      <c r="CS21" s="42"/>
      <c r="CT21" s="3"/>
      <c r="CX21" s="32"/>
      <c r="CY21" s="32"/>
      <c r="CZ21" s="43"/>
      <c r="DA21" s="42"/>
      <c r="DB21" s="42"/>
      <c r="DC21" s="42"/>
      <c r="DD21" s="42"/>
      <c r="DE21" s="42"/>
      <c r="DF21" s="42"/>
      <c r="DG21" s="42"/>
      <c r="DH21" s="42"/>
      <c r="DI21" s="42"/>
      <c r="DK21" s="13"/>
      <c r="DM21" s="3"/>
    </row>
    <row r="22" spans="1:117" ht="15.4" x14ac:dyDescent="0.55000000000000004">
      <c r="A22">
        <v>19</v>
      </c>
      <c r="B22" s="49">
        <v>0.3</v>
      </c>
      <c r="C22" s="12">
        <v>-5.0176600000000002</v>
      </c>
      <c r="D22" s="12">
        <v>1.03139</v>
      </c>
      <c r="E22" s="12">
        <v>1.4644699999999999</v>
      </c>
      <c r="F22" s="12">
        <v>3.5950000000000003E-2</v>
      </c>
      <c r="G22" s="118">
        <v>0.2</v>
      </c>
      <c r="H22" s="12">
        <v>0</v>
      </c>
      <c r="I22" s="12">
        <v>0.21432000000000001</v>
      </c>
      <c r="J22" s="12">
        <v>0.15451000000000001</v>
      </c>
      <c r="K22" s="12">
        <v>1.9689999999999999E-2</v>
      </c>
      <c r="L22" s="12">
        <v>-1.6715100000000001</v>
      </c>
      <c r="M22" s="12">
        <v>2.9916200000000002</v>
      </c>
      <c r="N22" s="12">
        <v>-0.40026</v>
      </c>
      <c r="O22" s="12">
        <v>-8.3800000000000003E-3</v>
      </c>
      <c r="P22" s="12">
        <v>-19.364799999999999</v>
      </c>
      <c r="Q22" s="12">
        <v>1.4261806542814801</v>
      </c>
      <c r="R22" s="12">
        <v>0.46106000000000003</v>
      </c>
      <c r="S22" s="12">
        <v>0.71274000000000004</v>
      </c>
      <c r="T22" s="12">
        <v>0.72302</v>
      </c>
      <c r="U22">
        <v>0.7</v>
      </c>
      <c r="V22">
        <v>0.312</v>
      </c>
      <c r="W22">
        <v>0.76600000000000001</v>
      </c>
      <c r="X22">
        <v>0.39700000000000002</v>
      </c>
      <c r="Y22" s="33">
        <v>0.238410596</v>
      </c>
      <c r="Z22" s="33">
        <v>0</v>
      </c>
      <c r="AA22" s="33">
        <v>-5.9323616838417394E-2</v>
      </c>
      <c r="AB22" s="33">
        <v>-0.26622351785230153</v>
      </c>
      <c r="AC22" s="33">
        <v>-0.59087366458244295</v>
      </c>
      <c r="AD22">
        <v>0.28100000000000003</v>
      </c>
      <c r="AE22">
        <v>0.55800000000000005</v>
      </c>
      <c r="AF22">
        <v>0.42599999999999999</v>
      </c>
      <c r="AG22">
        <v>0.57699999999999996</v>
      </c>
      <c r="AH22">
        <v>0.41599999999999998</v>
      </c>
      <c r="AI22">
        <v>0.50800000000000001</v>
      </c>
      <c r="AJ22">
        <v>0.28999999999999998</v>
      </c>
      <c r="AK22">
        <v>0.47099999999999997</v>
      </c>
      <c r="AM22" s="3"/>
      <c r="AN22" s="3"/>
      <c r="AO22" s="32"/>
      <c r="AP22" s="3"/>
      <c r="AR22" s="3"/>
      <c r="AS22" s="3"/>
      <c r="AT22" s="3"/>
      <c r="AU22" s="3"/>
      <c r="AX22" s="33"/>
      <c r="AY22" s="49"/>
      <c r="AZ22" s="33"/>
      <c r="BA22" s="33"/>
      <c r="BB22" s="33"/>
      <c r="BC22" s="33"/>
      <c r="BO22" s="13"/>
      <c r="BP22" s="42"/>
      <c r="BQ22" s="42"/>
      <c r="BS22" s="3"/>
      <c r="BT22" s="42"/>
      <c r="BU22" s="42"/>
      <c r="BV22" s="42"/>
      <c r="BW22" s="3"/>
      <c r="BX22" s="3"/>
      <c r="BY22" s="3"/>
      <c r="BZ22" s="3"/>
      <c r="CA22" s="42"/>
      <c r="CB22" s="42"/>
      <c r="CC22" s="42"/>
      <c r="CD22" s="42"/>
      <c r="CE22" s="42"/>
      <c r="CF22" s="56"/>
      <c r="CJ22" s="32"/>
      <c r="CK22" s="32"/>
      <c r="CL22" s="3"/>
      <c r="CM22" s="3"/>
      <c r="CQ22" s="32"/>
      <c r="CR22" s="32"/>
      <c r="CS22" s="42"/>
      <c r="CT22" s="3"/>
      <c r="CX22" s="32"/>
      <c r="CY22" s="32"/>
      <c r="CZ22" s="43"/>
      <c r="DA22" s="42"/>
      <c r="DB22" s="42"/>
      <c r="DC22" s="42"/>
      <c r="DD22" s="42"/>
      <c r="DE22" s="42"/>
      <c r="DF22" s="42"/>
      <c r="DG22" s="42"/>
      <c r="DH22" s="42"/>
      <c r="DI22" s="42"/>
      <c r="DK22" s="13"/>
      <c r="DM22" s="3"/>
    </row>
    <row r="23" spans="1:117" ht="15.4" x14ac:dyDescent="0.55000000000000004">
      <c r="A23">
        <v>20</v>
      </c>
      <c r="B23" s="49">
        <v>0.35</v>
      </c>
      <c r="C23" s="12">
        <v>-5.1178800000000004</v>
      </c>
      <c r="D23" s="12">
        <v>1.0388299999999999</v>
      </c>
      <c r="E23" s="12">
        <v>1.4694799999999999</v>
      </c>
      <c r="F23" s="12">
        <v>6.4700000000000001E-3</v>
      </c>
      <c r="G23" s="118">
        <v>0.2</v>
      </c>
      <c r="H23" s="12">
        <v>0</v>
      </c>
      <c r="I23" s="12">
        <v>0.18951000000000001</v>
      </c>
      <c r="J23" s="12">
        <v>0.17835999999999999</v>
      </c>
      <c r="K23" s="12">
        <v>1.9189999999999999E-2</v>
      </c>
      <c r="L23" s="12">
        <v>-1.7793000000000001</v>
      </c>
      <c r="M23" s="12">
        <v>3.0907800000000001</v>
      </c>
      <c r="N23" s="12">
        <v>-0.36363000000000001</v>
      </c>
      <c r="O23" s="12">
        <v>-7.4000000000000003E-3</v>
      </c>
      <c r="P23" s="12">
        <v>-19.802099999999999</v>
      </c>
      <c r="Q23" s="12">
        <v>1.4049475905635938</v>
      </c>
      <c r="R23" s="12">
        <v>0.44125999999999999</v>
      </c>
      <c r="S23" s="12">
        <v>0.72411999999999999</v>
      </c>
      <c r="T23" s="12">
        <v>0.80362</v>
      </c>
      <c r="U23">
        <v>0.69599999999999995</v>
      </c>
      <c r="V23">
        <v>0.311</v>
      </c>
      <c r="W23">
        <v>0.76200000000000001</v>
      </c>
      <c r="X23">
        <v>0.39600000000000002</v>
      </c>
      <c r="Y23" s="33">
        <v>0.22450331100000001</v>
      </c>
      <c r="Z23" s="33">
        <v>0</v>
      </c>
      <c r="AA23" s="33">
        <v>-3.9780537968168779E-2</v>
      </c>
      <c r="AB23" s="33">
        <v>-0.236255812214026</v>
      </c>
      <c r="AC23" s="33">
        <v>-0.57439415754593648</v>
      </c>
      <c r="AD23">
        <v>0.25700000000000001</v>
      </c>
      <c r="AE23">
        <v>0.56699999999999995</v>
      </c>
      <c r="AF23">
        <v>0.42599999999999999</v>
      </c>
      <c r="AG23">
        <v>0.57099999999999995</v>
      </c>
      <c r="AH23">
        <v>0.41499999999999998</v>
      </c>
      <c r="AI23">
        <v>0.51</v>
      </c>
      <c r="AJ23">
        <v>0.25900000000000001</v>
      </c>
      <c r="AK23">
        <v>0.45600000000000002</v>
      </c>
      <c r="AM23" s="3"/>
      <c r="AN23" s="3"/>
      <c r="AO23" s="32"/>
      <c r="AP23" s="3"/>
      <c r="AR23" s="3"/>
      <c r="AS23" s="3"/>
      <c r="AT23" s="3"/>
      <c r="AU23" s="3"/>
      <c r="AX23" s="33"/>
      <c r="AY23" s="49"/>
      <c r="AZ23" s="33"/>
      <c r="BA23" s="33"/>
      <c r="BB23" s="33"/>
      <c r="BC23" s="33"/>
      <c r="BO23" s="13"/>
      <c r="BP23" s="42"/>
      <c r="BQ23" s="42"/>
      <c r="BS23" s="3"/>
      <c r="BT23" s="42"/>
      <c r="BU23" s="42"/>
      <c r="BV23" s="42"/>
      <c r="BW23" s="3"/>
      <c r="BX23" s="3"/>
      <c r="BY23" s="3"/>
      <c r="BZ23" s="3"/>
      <c r="CA23" s="42"/>
      <c r="CB23" s="42"/>
      <c r="CC23" s="42"/>
      <c r="CD23" s="42"/>
      <c r="CE23" s="42"/>
      <c r="CF23" s="56"/>
      <c r="CJ23" s="32"/>
      <c r="CK23" s="32"/>
      <c r="CL23" s="3"/>
      <c r="CM23" s="3"/>
      <c r="CQ23" s="32"/>
      <c r="CR23" s="32"/>
      <c r="CS23" s="42"/>
      <c r="CT23" s="3"/>
      <c r="CX23" s="32"/>
      <c r="CY23" s="32"/>
      <c r="CZ23" s="43"/>
      <c r="DA23" s="42"/>
      <c r="DB23" s="42"/>
      <c r="DC23" s="42"/>
      <c r="DD23" s="42"/>
      <c r="DE23" s="42"/>
      <c r="DF23" s="42"/>
      <c r="DG23" s="42"/>
      <c r="DH23" s="42"/>
      <c r="DI23" s="42"/>
      <c r="DK23" s="13"/>
      <c r="DM23" s="3"/>
    </row>
    <row r="24" spans="1:117" ht="15.4" x14ac:dyDescent="0.55000000000000004">
      <c r="A24">
        <v>21</v>
      </c>
      <c r="B24" s="49">
        <v>0.4</v>
      </c>
      <c r="C24" s="12">
        <v>-5.1956300000000004</v>
      </c>
      <c r="D24" s="12">
        <v>1.0452699999999999</v>
      </c>
      <c r="E24" s="12">
        <v>1.4795400000000001</v>
      </c>
      <c r="F24" s="12">
        <v>-1.4239999999999999E-2</v>
      </c>
      <c r="G24" s="118">
        <v>0.2</v>
      </c>
      <c r="H24" s="12">
        <v>0</v>
      </c>
      <c r="I24" s="12">
        <v>0.16969000000000001</v>
      </c>
      <c r="J24" s="12">
        <v>0.19880999999999999</v>
      </c>
      <c r="K24" s="12">
        <v>1.8870000000000001E-2</v>
      </c>
      <c r="L24" s="12">
        <v>-1.8766</v>
      </c>
      <c r="M24" s="12">
        <v>3.1803400000000002</v>
      </c>
      <c r="N24" s="12">
        <v>-0.33201000000000003</v>
      </c>
      <c r="O24" s="12">
        <v>-6.45E-3</v>
      </c>
      <c r="P24" s="12">
        <v>-20.2224</v>
      </c>
      <c r="Q24" s="12">
        <v>1.3702593109569967</v>
      </c>
      <c r="R24" s="12">
        <v>0.40971000000000002</v>
      </c>
      <c r="S24" s="12">
        <v>0.71631999999999996</v>
      </c>
      <c r="T24" s="12">
        <v>0.87383999999999995</v>
      </c>
      <c r="U24">
        <v>0.68200000000000005</v>
      </c>
      <c r="V24">
        <v>0.31</v>
      </c>
      <c r="W24">
        <v>0.749</v>
      </c>
      <c r="X24">
        <v>0.38700000000000001</v>
      </c>
      <c r="Y24" s="33">
        <v>0.21192053</v>
      </c>
      <c r="Z24" s="33">
        <v>0</v>
      </c>
      <c r="AA24" s="33">
        <v>-2.796810703528976E-2</v>
      </c>
      <c r="AB24" s="33">
        <v>-0.21086851268107801</v>
      </c>
      <c r="AC24" s="33">
        <v>-0.54365816527828947</v>
      </c>
      <c r="AD24">
        <v>0.25900000000000001</v>
      </c>
      <c r="AE24">
        <v>0.53800000000000003</v>
      </c>
      <c r="AF24">
        <v>0.41199999999999998</v>
      </c>
      <c r="AG24">
        <v>0.56899999999999995</v>
      </c>
      <c r="AH24">
        <v>0.41499999999999998</v>
      </c>
      <c r="AI24">
        <v>0.499</v>
      </c>
      <c r="AJ24">
        <v>0.27100000000000002</v>
      </c>
      <c r="AK24">
        <v>0.46200000000000002</v>
      </c>
      <c r="AM24" s="3"/>
      <c r="AN24" s="3"/>
      <c r="AO24" s="32"/>
      <c r="AP24" s="3"/>
      <c r="AR24" s="3"/>
      <c r="AS24" s="3"/>
      <c r="AT24" s="3"/>
      <c r="AU24" s="3"/>
      <c r="AX24" s="33"/>
      <c r="AY24" s="49"/>
      <c r="AZ24" s="33"/>
      <c r="BA24" s="33"/>
      <c r="BB24" s="33"/>
      <c r="BC24" s="33"/>
      <c r="BO24" s="13"/>
      <c r="BP24" s="42"/>
      <c r="BQ24" s="42"/>
      <c r="BS24" s="3"/>
      <c r="BT24" s="42"/>
      <c r="BU24" s="42"/>
      <c r="BV24" s="42"/>
      <c r="BW24" s="3"/>
      <c r="BX24" s="3"/>
      <c r="BY24" s="3"/>
      <c r="BZ24" s="3"/>
      <c r="CA24" s="42"/>
      <c r="CB24" s="42"/>
      <c r="CC24" s="42"/>
      <c r="CD24" s="42"/>
      <c r="CE24" s="42"/>
      <c r="CF24" s="56"/>
      <c r="CJ24" s="32"/>
      <c r="CK24" s="32"/>
      <c r="CL24" s="3"/>
      <c r="CM24" s="3"/>
      <c r="CQ24" s="32"/>
      <c r="CR24" s="32"/>
      <c r="CS24" s="42"/>
      <c r="CT24" s="3"/>
      <c r="CX24" s="32"/>
      <c r="CY24" s="32"/>
      <c r="CZ24" s="43"/>
      <c r="DA24" s="42"/>
      <c r="DB24" s="42"/>
      <c r="DC24" s="42"/>
      <c r="DD24" s="42"/>
      <c r="DE24" s="42"/>
      <c r="DF24" s="42"/>
      <c r="DG24" s="42"/>
      <c r="DH24" s="42"/>
      <c r="DI24" s="42"/>
      <c r="DK24" s="13"/>
      <c r="DM24" s="3"/>
    </row>
    <row r="25" spans="1:117" ht="15.4" x14ac:dyDescent="0.55000000000000004">
      <c r="A25">
        <v>22</v>
      </c>
      <c r="B25" s="49">
        <v>0.45</v>
      </c>
      <c r="C25" s="12">
        <v>-5.2575099999999999</v>
      </c>
      <c r="D25" s="12">
        <v>1.05094</v>
      </c>
      <c r="E25" s="12">
        <v>1.4926999999999999</v>
      </c>
      <c r="F25" s="12">
        <v>-3.0179999999999998E-2</v>
      </c>
      <c r="G25" s="118">
        <v>0.2</v>
      </c>
      <c r="H25" s="12">
        <v>0</v>
      </c>
      <c r="I25" s="12">
        <v>0.15561</v>
      </c>
      <c r="J25" s="12">
        <v>0.21640000000000001</v>
      </c>
      <c r="K25" s="12">
        <v>1.8630000000000001E-2</v>
      </c>
      <c r="L25" s="12">
        <v>-1.96149</v>
      </c>
      <c r="M25" s="12">
        <v>3.2600600000000002</v>
      </c>
      <c r="N25" s="12">
        <v>-0.30446000000000001</v>
      </c>
      <c r="O25" s="12">
        <v>-5.6299999999999996E-3</v>
      </c>
      <c r="P25" s="12">
        <v>-20.65052</v>
      </c>
      <c r="Q25" s="12">
        <v>1.3337573041233846</v>
      </c>
      <c r="R25" s="12">
        <v>0.37357000000000001</v>
      </c>
      <c r="S25" s="12">
        <v>0.69835999999999998</v>
      </c>
      <c r="T25" s="12">
        <v>0.93496999999999997</v>
      </c>
      <c r="U25">
        <v>0.67900000000000005</v>
      </c>
      <c r="V25">
        <v>0.32</v>
      </c>
      <c r="W25">
        <v>0.751</v>
      </c>
      <c r="X25">
        <v>0.38800000000000001</v>
      </c>
      <c r="Y25" s="33">
        <v>0.20132450299999999</v>
      </c>
      <c r="Z25" s="33">
        <v>0</v>
      </c>
      <c r="AA25" s="33">
        <v>-2.0784105900878778E-2</v>
      </c>
      <c r="AB25" s="33">
        <v>-0.18870973878711</v>
      </c>
      <c r="AC25" s="33">
        <v>-0.51254473584715032</v>
      </c>
      <c r="AD25">
        <v>0.27200000000000002</v>
      </c>
      <c r="AE25">
        <v>0.53200000000000003</v>
      </c>
      <c r="AF25">
        <v>0.39800000000000002</v>
      </c>
      <c r="AG25">
        <v>0.56699999999999995</v>
      </c>
      <c r="AH25">
        <v>0.434</v>
      </c>
      <c r="AI25">
        <v>0.505</v>
      </c>
      <c r="AJ25">
        <v>0.30199999999999999</v>
      </c>
      <c r="AK25">
        <v>0.44600000000000001</v>
      </c>
      <c r="AM25" s="3"/>
      <c r="AN25" s="3"/>
      <c r="AO25" s="32"/>
      <c r="AP25" s="3"/>
      <c r="AR25" s="3"/>
      <c r="AS25" s="3"/>
      <c r="AT25" s="3"/>
      <c r="AU25" s="3"/>
      <c r="AX25" s="33"/>
      <c r="AY25" s="49"/>
      <c r="AZ25" s="33"/>
      <c r="BA25" s="33"/>
      <c r="BB25" s="33"/>
      <c r="BC25" s="33"/>
      <c r="BO25" s="13"/>
      <c r="BP25" s="42"/>
      <c r="BQ25" s="42"/>
      <c r="BS25" s="3"/>
      <c r="BT25" s="42"/>
      <c r="BU25" s="42"/>
      <c r="BV25" s="42"/>
      <c r="BW25" s="3"/>
      <c r="BX25" s="3"/>
      <c r="BY25" s="3"/>
      <c r="BZ25" s="3"/>
      <c r="CA25" s="42"/>
      <c r="CB25" s="42"/>
      <c r="CC25" s="42"/>
      <c r="CD25" s="42"/>
      <c r="CE25" s="42"/>
      <c r="CF25" s="56"/>
      <c r="CJ25" s="32"/>
      <c r="CK25" s="32"/>
      <c r="CL25" s="3"/>
      <c r="CM25" s="3"/>
      <c r="CQ25" s="32"/>
      <c r="CR25" s="32"/>
      <c r="CS25" s="42"/>
      <c r="CT25" s="3"/>
      <c r="CX25" s="32"/>
      <c r="CY25" s="32"/>
      <c r="CZ25" s="43"/>
      <c r="DA25" s="42"/>
      <c r="DB25" s="42"/>
      <c r="DC25" s="42"/>
      <c r="DD25" s="42"/>
      <c r="DE25" s="42"/>
      <c r="DF25" s="42"/>
      <c r="DG25" s="42"/>
      <c r="DH25" s="42"/>
      <c r="DI25" s="42"/>
      <c r="DK25" s="13"/>
      <c r="DM25" s="3"/>
    </row>
    <row r="26" spans="1:117" ht="15.4" x14ac:dyDescent="0.55000000000000004">
      <c r="A26">
        <v>23</v>
      </c>
      <c r="B26" s="49">
        <v>0.5</v>
      </c>
      <c r="C26" s="12">
        <v>-5.3077300000000003</v>
      </c>
      <c r="D26" s="12">
        <v>1.0560099999999999</v>
      </c>
      <c r="E26" s="12">
        <v>1.5078</v>
      </c>
      <c r="F26" s="12">
        <v>-4.2500000000000003E-2</v>
      </c>
      <c r="G26" s="118">
        <v>0.19500000000000001</v>
      </c>
      <c r="H26" s="12">
        <v>0</v>
      </c>
      <c r="I26" s="12">
        <v>0.14391000000000001</v>
      </c>
      <c r="J26" s="12">
        <v>0.23147000000000001</v>
      </c>
      <c r="K26" s="12">
        <v>1.8440000000000002E-2</v>
      </c>
      <c r="L26" s="12">
        <v>-2.0350899999999998</v>
      </c>
      <c r="M26" s="12">
        <v>3.33175</v>
      </c>
      <c r="N26" s="12">
        <v>-0.28025</v>
      </c>
      <c r="O26" s="12">
        <v>-4.9199999999999999E-3</v>
      </c>
      <c r="P26" s="12">
        <v>-21.052530000000001</v>
      </c>
      <c r="Q26" s="12">
        <v>1.3008267189517242</v>
      </c>
      <c r="R26" s="12">
        <v>0.34111999999999998</v>
      </c>
      <c r="S26" s="12">
        <v>0.67830999999999997</v>
      </c>
      <c r="T26" s="12">
        <v>0.98790999999999995</v>
      </c>
      <c r="U26">
        <v>0.67100000000000004</v>
      </c>
      <c r="V26">
        <v>0.317</v>
      </c>
      <c r="W26">
        <v>0.74199999999999999</v>
      </c>
      <c r="X26">
        <v>0.38600000000000001</v>
      </c>
      <c r="Y26" s="33">
        <v>0.19139072800000001</v>
      </c>
      <c r="Z26" s="33">
        <v>0</v>
      </c>
      <c r="AA26" s="33">
        <v>-1.7137339385316114E-2</v>
      </c>
      <c r="AB26" s="33">
        <v>-0.16943737900872499</v>
      </c>
      <c r="AC26" s="33">
        <v>-0.48227189748818849</v>
      </c>
      <c r="AD26">
        <v>0.29299999999999998</v>
      </c>
      <c r="AE26">
        <v>0.52200000000000002</v>
      </c>
      <c r="AF26">
        <v>0.38400000000000001</v>
      </c>
      <c r="AG26">
        <v>0.56100000000000005</v>
      </c>
      <c r="AH26">
        <v>0.439</v>
      </c>
      <c r="AI26">
        <v>0.497</v>
      </c>
      <c r="AJ26">
        <v>0.318</v>
      </c>
      <c r="AK26">
        <v>0.437</v>
      </c>
      <c r="AM26" s="3"/>
      <c r="AN26" s="3"/>
      <c r="AO26" s="32"/>
      <c r="AP26" s="3"/>
      <c r="AR26" s="3"/>
      <c r="AS26" s="3"/>
      <c r="AT26" s="3"/>
      <c r="AU26" s="3"/>
      <c r="AX26" s="33"/>
      <c r="AY26" s="49"/>
      <c r="AZ26" s="33"/>
      <c r="BA26" s="33"/>
      <c r="BB26" s="33"/>
      <c r="BC26" s="33"/>
      <c r="BO26" s="13"/>
      <c r="BP26" s="42"/>
      <c r="BQ26" s="42"/>
      <c r="BS26" s="3"/>
      <c r="BT26" s="42"/>
      <c r="BU26" s="42"/>
      <c r="BV26" s="42"/>
      <c r="BW26" s="3"/>
      <c r="BX26" s="3"/>
      <c r="BY26" s="3"/>
      <c r="BZ26" s="3"/>
      <c r="CA26" s="42"/>
      <c r="CB26" s="42"/>
      <c r="CC26" s="42"/>
      <c r="CD26" s="42"/>
      <c r="CE26" s="42"/>
      <c r="CF26" s="56"/>
      <c r="CJ26" s="32"/>
      <c r="CK26" s="32"/>
      <c r="CL26" s="3"/>
      <c r="CM26" s="3"/>
      <c r="CQ26" s="32"/>
      <c r="CR26" s="32"/>
      <c r="CS26" s="42"/>
      <c r="CT26" s="3"/>
      <c r="CX26" s="32"/>
      <c r="CY26" s="32"/>
      <c r="CZ26" s="43"/>
      <c r="DA26" s="42"/>
      <c r="DB26" s="42"/>
      <c r="DC26" s="42"/>
      <c r="DD26" s="42"/>
      <c r="DE26" s="42"/>
      <c r="DF26" s="42"/>
      <c r="DG26" s="42"/>
      <c r="DH26" s="42"/>
      <c r="DI26" s="42"/>
      <c r="DK26" s="13"/>
      <c r="DM26" s="3"/>
    </row>
    <row r="27" spans="1:117" ht="15.4" x14ac:dyDescent="0.55000000000000004">
      <c r="A27">
        <v>24</v>
      </c>
      <c r="B27" s="49">
        <v>0.6</v>
      </c>
      <c r="C27" s="12">
        <v>-5.3837299999999999</v>
      </c>
      <c r="D27" s="12">
        <v>1.0647599999999999</v>
      </c>
      <c r="E27" s="12">
        <v>1.54017</v>
      </c>
      <c r="F27" s="12">
        <v>-6.1179999999999998E-2</v>
      </c>
      <c r="G27" s="118">
        <v>0.17799999999999999</v>
      </c>
      <c r="H27" s="12">
        <v>0</v>
      </c>
      <c r="I27" s="12">
        <v>0.12565000000000001</v>
      </c>
      <c r="J27" s="12">
        <v>0.25757999999999998</v>
      </c>
      <c r="K27" s="12">
        <v>1.813E-2</v>
      </c>
      <c r="L27" s="12">
        <v>-2.1529199999999999</v>
      </c>
      <c r="M27" s="12">
        <v>3.4552700000000001</v>
      </c>
      <c r="N27" s="12">
        <v>-0.23905000000000001</v>
      </c>
      <c r="O27" s="12">
        <v>-3.7699999999999999E-3</v>
      </c>
      <c r="P27" s="12">
        <v>-21.828659999999999</v>
      </c>
      <c r="Q27" s="12">
        <v>1.2435870676190619</v>
      </c>
      <c r="R27" s="12">
        <v>0.28355000000000002</v>
      </c>
      <c r="S27" s="12">
        <v>0.64300999999999997</v>
      </c>
      <c r="T27" s="12">
        <v>1.07257</v>
      </c>
      <c r="U27">
        <v>0.66</v>
      </c>
      <c r="V27">
        <v>0.318</v>
      </c>
      <c r="W27">
        <v>0.73299999999999998</v>
      </c>
      <c r="X27">
        <v>0.38900000000000001</v>
      </c>
      <c r="Y27" s="33">
        <v>0.17417218500000001</v>
      </c>
      <c r="Z27" s="33">
        <v>0</v>
      </c>
      <c r="AA27" s="33">
        <v>-1.344629212790649E-2</v>
      </c>
      <c r="AB27" s="33">
        <v>-0.14220349469058999</v>
      </c>
      <c r="AC27" s="33">
        <v>-0.43000960570880314</v>
      </c>
      <c r="AD27">
        <v>0.32</v>
      </c>
      <c r="AE27">
        <v>0.503</v>
      </c>
      <c r="AF27">
        <v>0.372</v>
      </c>
      <c r="AG27">
        <v>0.54800000000000004</v>
      </c>
      <c r="AH27">
        <v>0.45</v>
      </c>
      <c r="AI27">
        <v>0.501</v>
      </c>
      <c r="AJ27">
        <v>0.35199999999999998</v>
      </c>
      <c r="AK27">
        <v>0.42199999999999999</v>
      </c>
      <c r="AM27" s="3"/>
      <c r="AN27" s="3"/>
      <c r="AO27" s="32"/>
      <c r="AP27" s="3"/>
      <c r="AR27" s="3"/>
      <c r="AS27" s="3"/>
      <c r="AT27" s="3"/>
      <c r="AU27" s="3"/>
      <c r="AX27" s="33"/>
      <c r="AY27" s="49"/>
      <c r="AZ27" s="33"/>
      <c r="BA27" s="33"/>
      <c r="BB27" s="33"/>
      <c r="BC27" s="33"/>
      <c r="BO27" s="13"/>
      <c r="BP27" s="42"/>
      <c r="BQ27" s="42"/>
      <c r="BS27" s="3"/>
      <c r="BT27" s="42"/>
      <c r="BU27" s="42"/>
      <c r="BV27" s="42"/>
      <c r="BW27" s="3"/>
      <c r="BX27" s="3"/>
      <c r="BY27" s="3"/>
      <c r="BZ27" s="3"/>
      <c r="CA27" s="42"/>
      <c r="CB27" s="42"/>
      <c r="CC27" s="42"/>
      <c r="CD27" s="42"/>
      <c r="CE27" s="42"/>
      <c r="CF27" s="56"/>
      <c r="CJ27" s="32"/>
      <c r="CK27" s="32"/>
      <c r="CL27" s="3"/>
      <c r="CM27" s="3"/>
      <c r="CQ27" s="32"/>
      <c r="CR27" s="32"/>
      <c r="CS27" s="42"/>
      <c r="CT27" s="3"/>
      <c r="CX27" s="32"/>
      <c r="CY27" s="32"/>
      <c r="CZ27" s="43"/>
      <c r="DA27" s="42"/>
      <c r="DB27" s="42"/>
      <c r="DC27" s="42"/>
      <c r="DD27" s="42"/>
      <c r="DE27" s="42"/>
      <c r="DF27" s="42"/>
      <c r="DG27" s="42"/>
      <c r="DH27" s="42"/>
      <c r="DI27" s="42"/>
      <c r="DK27" s="13"/>
      <c r="DM27" s="3"/>
    </row>
    <row r="28" spans="1:117" ht="15.4" x14ac:dyDescent="0.55000000000000004">
      <c r="A28">
        <v>25</v>
      </c>
      <c r="B28" s="49">
        <v>0.7</v>
      </c>
      <c r="C28" s="12">
        <v>-5.4377800000000001</v>
      </c>
      <c r="D28" s="12">
        <v>1.0721400000000001</v>
      </c>
      <c r="E28" s="12">
        <v>1.5754300000000001</v>
      </c>
      <c r="F28" s="12">
        <v>-7.5029999999999999E-2</v>
      </c>
      <c r="G28" s="118">
        <v>0.16200000000000001</v>
      </c>
      <c r="H28" s="12">
        <v>0</v>
      </c>
      <c r="I28" s="12">
        <v>0.11212</v>
      </c>
      <c r="J28" s="12">
        <v>0.27398</v>
      </c>
      <c r="K28" s="12">
        <v>1.7840000000000002E-2</v>
      </c>
      <c r="L28" s="12">
        <v>-2.2396400000000001</v>
      </c>
      <c r="M28" s="12">
        <v>3.5567600000000001</v>
      </c>
      <c r="N28" s="12">
        <v>-0.20563999999999999</v>
      </c>
      <c r="O28" s="12">
        <v>-2.9199999999999999E-3</v>
      </c>
      <c r="P28" s="12">
        <v>-22.553740000000001</v>
      </c>
      <c r="Q28" s="12">
        <v>1.2008144080808307</v>
      </c>
      <c r="R28" s="12">
        <v>0.23752000000000001</v>
      </c>
      <c r="S28" s="12">
        <v>0.60746</v>
      </c>
      <c r="T28" s="12">
        <v>1.13245</v>
      </c>
      <c r="U28">
        <v>0.65500000000000003</v>
      </c>
      <c r="V28">
        <v>0.31900000000000001</v>
      </c>
      <c r="W28">
        <v>0.72899999999999998</v>
      </c>
      <c r="X28">
        <v>0.40600000000000003</v>
      </c>
      <c r="Y28" s="33">
        <v>0.16026490099999999</v>
      </c>
      <c r="Z28" s="33">
        <v>0</v>
      </c>
      <c r="AA28" s="33">
        <v>-1.2000676025351976E-2</v>
      </c>
      <c r="AB28" s="33">
        <v>-0.12088104737720499</v>
      </c>
      <c r="AC28" s="33">
        <v>-0.3831831491814599</v>
      </c>
      <c r="AD28">
        <v>0.311</v>
      </c>
      <c r="AE28">
        <v>0.48</v>
      </c>
      <c r="AF28">
        <v>0.373</v>
      </c>
      <c r="AG28">
        <v>0.53700000000000003</v>
      </c>
      <c r="AH28">
        <v>0.47899999999999998</v>
      </c>
      <c r="AI28">
        <v>0.501</v>
      </c>
      <c r="AJ28">
        <v>0.45400000000000001</v>
      </c>
      <c r="AK28">
        <v>0.41399999999999998</v>
      </c>
      <c r="AM28" s="3"/>
      <c r="AN28" s="3"/>
      <c r="AO28" s="32"/>
      <c r="AP28" s="3"/>
      <c r="AR28" s="3"/>
      <c r="AS28" s="3"/>
      <c r="AT28" s="3"/>
      <c r="AU28" s="3"/>
      <c r="AX28" s="33"/>
      <c r="AY28" s="49"/>
      <c r="AZ28" s="33"/>
      <c r="BA28" s="33"/>
      <c r="BB28" s="33"/>
      <c r="BC28" s="33"/>
      <c r="BO28" s="13"/>
      <c r="BP28" s="42"/>
      <c r="BQ28" s="42"/>
      <c r="BS28" s="3"/>
      <c r="BT28" s="42"/>
      <c r="BU28" s="42"/>
      <c r="BV28" s="42"/>
      <c r="BW28" s="3"/>
      <c r="BX28" s="3"/>
      <c r="BY28" s="3"/>
      <c r="BZ28" s="3"/>
      <c r="CA28" s="42"/>
      <c r="CB28" s="42"/>
      <c r="CC28" s="42"/>
      <c r="CD28" s="42"/>
      <c r="CE28" s="42"/>
      <c r="CF28" s="56"/>
      <c r="CJ28" s="32"/>
      <c r="CK28" s="32"/>
      <c r="CL28" s="3"/>
      <c r="CM28" s="3"/>
      <c r="CQ28" s="32"/>
      <c r="CR28" s="32"/>
      <c r="CS28" s="42"/>
      <c r="CT28" s="3"/>
      <c r="CX28" s="32"/>
      <c r="CY28" s="32"/>
      <c r="CZ28" s="43"/>
      <c r="DA28" s="42"/>
      <c r="DB28" s="42"/>
      <c r="DC28" s="42"/>
      <c r="DD28" s="42"/>
      <c r="DE28" s="42"/>
      <c r="DF28" s="42"/>
      <c r="DG28" s="42"/>
      <c r="DH28" s="42"/>
      <c r="DI28" s="42"/>
      <c r="DK28" s="13"/>
      <c r="DM28" s="3"/>
    </row>
    <row r="29" spans="1:117" ht="15.4" x14ac:dyDescent="0.55000000000000004">
      <c r="A29">
        <v>26</v>
      </c>
      <c r="B29" s="49">
        <v>0.8</v>
      </c>
      <c r="C29" s="12">
        <v>-5.4775400000000003</v>
      </c>
      <c r="D29" s="12">
        <v>1.0785199999999999</v>
      </c>
      <c r="E29" s="12">
        <v>1.61205</v>
      </c>
      <c r="F29" s="12">
        <v>-8.4849999999999995E-2</v>
      </c>
      <c r="G29" s="118">
        <v>0.14799999999999999</v>
      </c>
      <c r="H29" s="12">
        <v>0</v>
      </c>
      <c r="I29" s="12">
        <v>0.1018</v>
      </c>
      <c r="J29" s="12">
        <v>0.28156999999999999</v>
      </c>
      <c r="K29" s="12">
        <v>1.755E-2</v>
      </c>
      <c r="L29" s="12">
        <v>-2.2989999999999999</v>
      </c>
      <c r="M29" s="12">
        <v>3.6397699999999999</v>
      </c>
      <c r="N29" s="12">
        <v>-0.18154999999999999</v>
      </c>
      <c r="O29" s="12">
        <v>-2.2899999999999999E-3</v>
      </c>
      <c r="P29" s="12">
        <v>-23.229330000000001</v>
      </c>
      <c r="Q29" s="12">
        <v>1.167657961105125</v>
      </c>
      <c r="R29" s="12">
        <v>0.20143</v>
      </c>
      <c r="S29" s="12">
        <v>0.57386999999999999</v>
      </c>
      <c r="T29" s="12">
        <v>1.1680600000000001</v>
      </c>
      <c r="U29">
        <v>0.64800000000000002</v>
      </c>
      <c r="V29">
        <v>0.32400000000000001</v>
      </c>
      <c r="W29">
        <v>0.72399999999999998</v>
      </c>
      <c r="X29">
        <v>0.40300000000000002</v>
      </c>
      <c r="Y29" s="33">
        <v>0.148344371</v>
      </c>
      <c r="Z29" s="33">
        <v>0</v>
      </c>
      <c r="AA29" s="33">
        <v>-1.1287535236571E-2</v>
      </c>
      <c r="AB29" s="33">
        <v>-0.10700556645242</v>
      </c>
      <c r="AC29" s="33">
        <v>-0.34107817029245802</v>
      </c>
      <c r="AD29">
        <v>0.32800000000000001</v>
      </c>
      <c r="AE29">
        <v>0.47199999999999998</v>
      </c>
      <c r="AF29">
        <v>0.35499999999999998</v>
      </c>
      <c r="AG29">
        <v>0.52200000000000002</v>
      </c>
      <c r="AH29">
        <v>0.49</v>
      </c>
      <c r="AI29">
        <v>0.502</v>
      </c>
      <c r="AJ29">
        <v>0.47499999999999998</v>
      </c>
      <c r="AK29">
        <v>0.41099999999999998</v>
      </c>
      <c r="AM29" s="3"/>
      <c r="AN29" s="3"/>
      <c r="AO29" s="32"/>
      <c r="AP29" s="3"/>
      <c r="AR29" s="3"/>
      <c r="AS29" s="3"/>
      <c r="AT29" s="3"/>
      <c r="AU29" s="3"/>
      <c r="AX29" s="33"/>
      <c r="AY29" s="49"/>
      <c r="AZ29" s="33"/>
      <c r="BA29" s="33"/>
      <c r="BB29" s="33"/>
      <c r="BC29" s="33"/>
      <c r="BO29" s="13"/>
      <c r="BP29" s="42"/>
      <c r="BQ29" s="42"/>
      <c r="BS29" s="3"/>
      <c r="BT29" s="42"/>
      <c r="BU29" s="42"/>
      <c r="BV29" s="42"/>
      <c r="BW29" s="3"/>
      <c r="BX29" s="3"/>
      <c r="BY29" s="3"/>
      <c r="BZ29" s="3"/>
      <c r="CA29" s="42"/>
      <c r="CB29" s="42"/>
      <c r="CC29" s="42"/>
      <c r="CD29" s="42"/>
      <c r="CE29" s="42"/>
      <c r="CF29" s="56"/>
      <c r="CJ29" s="32"/>
      <c r="CK29" s="32"/>
      <c r="CL29" s="3"/>
      <c r="CM29" s="3"/>
      <c r="CQ29" s="32"/>
      <c r="CR29" s="32"/>
      <c r="CS29" s="42"/>
      <c r="CT29" s="3"/>
      <c r="CX29" s="32"/>
      <c r="CY29" s="32"/>
      <c r="CZ29" s="43"/>
      <c r="DA29" s="42"/>
      <c r="DB29" s="42"/>
      <c r="DC29" s="42"/>
      <c r="DD29" s="42"/>
      <c r="DE29" s="42"/>
      <c r="DF29" s="42"/>
      <c r="DG29" s="42"/>
      <c r="DH29" s="42"/>
      <c r="DI29" s="42"/>
      <c r="DK29" s="13"/>
      <c r="DM29" s="3"/>
    </row>
    <row r="30" spans="1:117" ht="15.4" x14ac:dyDescent="0.55000000000000004">
      <c r="A30">
        <v>27</v>
      </c>
      <c r="B30" s="49">
        <v>0.9</v>
      </c>
      <c r="C30" s="12">
        <v>-5.5075000000000003</v>
      </c>
      <c r="D30" s="12">
        <v>1.0841400000000001</v>
      </c>
      <c r="E30" s="12">
        <v>1.65204</v>
      </c>
      <c r="F30" s="12">
        <v>-9.1829999999999995E-2</v>
      </c>
      <c r="G30" s="118">
        <v>0.13600000000000001</v>
      </c>
      <c r="H30" s="12">
        <v>0</v>
      </c>
      <c r="I30" s="12">
        <v>9.3770000000000006E-2</v>
      </c>
      <c r="J30" s="12">
        <v>0.28283999999999998</v>
      </c>
      <c r="K30" s="12">
        <v>1.7239999999999998E-2</v>
      </c>
      <c r="L30" s="12">
        <v>-2.34511</v>
      </c>
      <c r="M30" s="12">
        <v>3.7081599999999999</v>
      </c>
      <c r="N30" s="12">
        <v>-0.16045000000000001</v>
      </c>
      <c r="O30" s="12">
        <v>-1.82E-3</v>
      </c>
      <c r="P30" s="12">
        <v>-23.86956</v>
      </c>
      <c r="Q30" s="12">
        <v>1.1422499983308942</v>
      </c>
      <c r="R30" s="12">
        <v>0.17304</v>
      </c>
      <c r="S30" s="12">
        <v>0.54296</v>
      </c>
      <c r="T30" s="12">
        <v>1.18506</v>
      </c>
      <c r="U30">
        <v>0.64500000000000002</v>
      </c>
      <c r="V30">
        <v>0.32600000000000001</v>
      </c>
      <c r="W30">
        <v>0.72299999999999998</v>
      </c>
      <c r="X30">
        <v>0.41499999999999998</v>
      </c>
      <c r="Y30" s="33">
        <v>0.138410596</v>
      </c>
      <c r="Z30" s="33">
        <v>0</v>
      </c>
      <c r="AA30" s="33">
        <v>-1.0853729261942099E-2</v>
      </c>
      <c r="AB30" s="33">
        <v>-9.3735325091352101E-2</v>
      </c>
      <c r="AC30" s="33">
        <v>-0.30316376792645111</v>
      </c>
      <c r="AD30">
        <v>0.33100000000000002</v>
      </c>
      <c r="AE30">
        <v>0.45700000000000002</v>
      </c>
      <c r="AF30">
        <v>0.35799999999999998</v>
      </c>
      <c r="AG30">
        <v>0.51300000000000001</v>
      </c>
      <c r="AH30">
        <v>0.50800000000000001</v>
      </c>
      <c r="AI30">
        <v>0.499</v>
      </c>
      <c r="AJ30">
        <v>0.51300000000000001</v>
      </c>
      <c r="AK30">
        <v>0.39400000000000002</v>
      </c>
      <c r="AM30" s="3"/>
      <c r="AN30" s="3"/>
      <c r="AO30" s="32"/>
      <c r="AP30" s="3"/>
      <c r="AR30" s="3"/>
      <c r="AS30" s="3"/>
      <c r="AT30" s="3"/>
      <c r="AU30" s="3"/>
      <c r="AX30" s="33"/>
      <c r="AY30" s="49"/>
      <c r="AZ30" s="33"/>
      <c r="BA30" s="33"/>
      <c r="BB30" s="33"/>
      <c r="BC30" s="33"/>
      <c r="BO30" s="13"/>
      <c r="BP30" s="42"/>
      <c r="BQ30" s="42"/>
      <c r="BS30" s="3"/>
      <c r="BT30" s="42"/>
      <c r="BU30" s="42"/>
      <c r="BV30" s="42"/>
      <c r="BW30" s="3"/>
      <c r="BX30" s="3"/>
      <c r="BY30" s="3"/>
      <c r="BZ30" s="3"/>
      <c r="CA30" s="42"/>
      <c r="CB30" s="42"/>
      <c r="CC30" s="42"/>
      <c r="CD30" s="42"/>
      <c r="CE30" s="42"/>
      <c r="CF30" s="56"/>
      <c r="CJ30" s="32"/>
      <c r="CK30" s="32"/>
      <c r="CL30" s="3"/>
      <c r="CM30" s="3"/>
      <c r="CQ30" s="32"/>
      <c r="CR30" s="32"/>
      <c r="CS30" s="42"/>
      <c r="CT30" s="3"/>
      <c r="CX30" s="32"/>
      <c r="CY30" s="32"/>
      <c r="CZ30" s="43"/>
      <c r="DA30" s="42"/>
      <c r="DB30" s="42"/>
      <c r="DC30" s="42"/>
      <c r="DD30" s="42"/>
      <c r="DE30" s="42"/>
      <c r="DF30" s="42"/>
      <c r="DG30" s="42"/>
      <c r="DH30" s="42"/>
      <c r="DI30" s="42"/>
      <c r="DK30" s="13"/>
      <c r="DM30" s="3"/>
    </row>
    <row r="31" spans="1:117" ht="15.4" x14ac:dyDescent="0.55000000000000004">
      <c r="A31">
        <v>28</v>
      </c>
      <c r="B31" s="49">
        <v>1</v>
      </c>
      <c r="C31" s="12">
        <v>-5.5304900000000004</v>
      </c>
      <c r="D31" s="12">
        <v>1.0891500000000001</v>
      </c>
      <c r="E31" s="12">
        <v>1.6890799999999999</v>
      </c>
      <c r="F31" s="12">
        <v>-9.5219999999999999E-2</v>
      </c>
      <c r="G31" s="118">
        <v>0.125</v>
      </c>
      <c r="H31" s="12">
        <v>0</v>
      </c>
      <c r="I31" s="12">
        <v>8.7429999999999994E-2</v>
      </c>
      <c r="J31" s="12">
        <v>0.27966000000000002</v>
      </c>
      <c r="K31" s="12">
        <v>1.6930000000000001E-2</v>
      </c>
      <c r="L31" s="12">
        <v>-2.38035</v>
      </c>
      <c r="M31" s="12">
        <v>3.7696900000000002</v>
      </c>
      <c r="N31" s="12">
        <v>-0.14182</v>
      </c>
      <c r="O31" s="12">
        <v>-1.48E-3</v>
      </c>
      <c r="P31" s="12">
        <v>-24.478300000000001</v>
      </c>
      <c r="Q31" s="12">
        <v>1.1229958721332547</v>
      </c>
      <c r="R31" s="12">
        <v>0.15037</v>
      </c>
      <c r="S31" s="12">
        <v>0.51432</v>
      </c>
      <c r="T31" s="12">
        <v>1.1857200000000001</v>
      </c>
      <c r="U31">
        <v>0.64500000000000002</v>
      </c>
      <c r="V31">
        <v>0.32900000000000001</v>
      </c>
      <c r="W31">
        <v>0.72399999999999998</v>
      </c>
      <c r="X31">
        <v>0.42599999999999999</v>
      </c>
      <c r="Y31" s="33">
        <v>0.130463576</v>
      </c>
      <c r="Z31" s="33">
        <v>0</v>
      </c>
      <c r="AA31" s="33">
        <v>-1.0243885983232901E-2</v>
      </c>
      <c r="AB31" s="33">
        <v>-8.2871766861467799E-2</v>
      </c>
      <c r="AC31" s="33">
        <v>-0.26897603817141952</v>
      </c>
      <c r="AD31">
        <v>0.32</v>
      </c>
      <c r="AE31">
        <v>0.45600000000000002</v>
      </c>
      <c r="AF31">
        <v>0.36299999999999999</v>
      </c>
      <c r="AG31">
        <v>0.50700000000000001</v>
      </c>
      <c r="AH31">
        <v>0.51900000000000002</v>
      </c>
      <c r="AI31">
        <v>0.5</v>
      </c>
      <c r="AJ31">
        <v>0.54</v>
      </c>
      <c r="AK31">
        <v>0.42199999999999999</v>
      </c>
      <c r="AM31" s="3"/>
      <c r="AN31" s="3"/>
      <c r="AO31" s="32"/>
      <c r="AP31" s="3"/>
      <c r="AR31" s="3"/>
      <c r="AS31" s="3"/>
      <c r="AT31" s="3"/>
      <c r="AU31" s="3"/>
      <c r="AX31" s="33"/>
      <c r="AY31" s="49"/>
      <c r="AZ31" s="33"/>
      <c r="BA31" s="33"/>
      <c r="BB31" s="33"/>
      <c r="BC31" s="33"/>
      <c r="BO31" s="13"/>
      <c r="BP31" s="42"/>
      <c r="BQ31" s="42"/>
      <c r="BS31" s="3"/>
      <c r="BT31" s="42"/>
      <c r="BU31" s="42"/>
      <c r="BV31" s="42"/>
      <c r="BW31" s="3"/>
      <c r="BX31" s="3"/>
      <c r="BY31" s="3"/>
      <c r="BZ31" s="3"/>
      <c r="CA31" s="42"/>
      <c r="CB31" s="42"/>
      <c r="CC31" s="42"/>
      <c r="CD31" s="42"/>
      <c r="CE31" s="42"/>
      <c r="CF31" s="56"/>
      <c r="CJ31" s="32"/>
      <c r="CK31" s="32"/>
      <c r="CL31" s="3"/>
      <c r="CM31" s="3"/>
      <c r="CQ31" s="32"/>
      <c r="CR31" s="32"/>
      <c r="CS31" s="42"/>
      <c r="CT31" s="3"/>
      <c r="CX31" s="32"/>
      <c r="CY31" s="32"/>
      <c r="CZ31" s="43"/>
      <c r="DA31" s="42"/>
      <c r="DB31" s="42"/>
      <c r="DC31" s="42"/>
      <c r="DD31" s="42"/>
      <c r="DE31" s="42"/>
      <c r="DF31" s="42"/>
      <c r="DG31" s="42"/>
      <c r="DH31" s="42"/>
      <c r="DI31" s="42"/>
      <c r="DK31" s="13"/>
      <c r="DM31" s="3"/>
    </row>
    <row r="32" spans="1:117" ht="15.4" x14ac:dyDescent="0.55000000000000004">
      <c r="A32">
        <v>29</v>
      </c>
      <c r="B32" s="49">
        <v>1.25</v>
      </c>
      <c r="C32" s="12">
        <v>-5.5682799999999997</v>
      </c>
      <c r="D32" s="12">
        <v>1.1002799999999999</v>
      </c>
      <c r="E32" s="12">
        <v>1.7787299999999999</v>
      </c>
      <c r="F32" s="12">
        <v>-9.5610000000000001E-2</v>
      </c>
      <c r="G32" s="118">
        <v>0.10100000000000001</v>
      </c>
      <c r="H32" s="12">
        <v>0</v>
      </c>
      <c r="I32" s="12">
        <v>7.6619999999999994E-2</v>
      </c>
      <c r="J32" s="12">
        <v>0.26024999999999998</v>
      </c>
      <c r="K32" s="12">
        <v>1.6080000000000001E-2</v>
      </c>
      <c r="L32" s="12">
        <v>-2.43635</v>
      </c>
      <c r="M32" s="12">
        <v>3.8544399999999999</v>
      </c>
      <c r="N32" s="12">
        <v>-0.10359</v>
      </c>
      <c r="O32" s="12">
        <v>-9.6000000000000002E-4</v>
      </c>
      <c r="P32" s="12">
        <v>-25.654789999999998</v>
      </c>
      <c r="Q32" s="12">
        <v>1.085455809829549</v>
      </c>
      <c r="R32" s="12">
        <v>0.10629</v>
      </c>
      <c r="S32" s="12">
        <v>0.45355000000000001</v>
      </c>
      <c r="T32" s="12">
        <v>1.14611</v>
      </c>
      <c r="U32">
        <v>0.63400000000000001</v>
      </c>
      <c r="V32">
        <v>0.33800000000000002</v>
      </c>
      <c r="W32">
        <v>0.71899999999999997</v>
      </c>
      <c r="X32">
        <v>0.432</v>
      </c>
      <c r="Y32" s="33">
        <v>0.11324503299999999</v>
      </c>
      <c r="Z32" s="33">
        <v>0</v>
      </c>
      <c r="AA32" s="33">
        <v>-9.1457756585005007E-3</v>
      </c>
      <c r="AB32" s="33">
        <v>-6.3779968176791699E-2</v>
      </c>
      <c r="AC32" s="33">
        <v>-0.19709468955095419</v>
      </c>
      <c r="AD32">
        <v>0.27100000000000002</v>
      </c>
      <c r="AE32">
        <v>0.44400000000000001</v>
      </c>
      <c r="AF32">
        <v>0.37</v>
      </c>
      <c r="AG32">
        <v>0.5</v>
      </c>
      <c r="AH32">
        <v>0.53500000000000003</v>
      </c>
      <c r="AI32">
        <v>0.48</v>
      </c>
      <c r="AJ32">
        <v>0.58199999999999996</v>
      </c>
      <c r="AK32">
        <v>0.42399999999999999</v>
      </c>
      <c r="AM32" s="3"/>
      <c r="AN32" s="3"/>
      <c r="AO32" s="32"/>
      <c r="AP32" s="3"/>
      <c r="AR32" s="3"/>
      <c r="AS32" s="3"/>
      <c r="AT32" s="3"/>
      <c r="AU32" s="3"/>
      <c r="AX32" s="33"/>
      <c r="AY32" s="49"/>
      <c r="AZ32" s="33"/>
      <c r="BA32" s="33"/>
      <c r="BB32" s="33"/>
      <c r="BC32" s="33"/>
      <c r="BO32" s="13"/>
      <c r="BP32" s="42"/>
      <c r="BQ32" s="42"/>
      <c r="BS32" s="3"/>
      <c r="BT32" s="42"/>
      <c r="BU32" s="42"/>
      <c r="BV32" s="42"/>
      <c r="BW32" s="3"/>
      <c r="BX32" s="3"/>
      <c r="BY32" s="3"/>
      <c r="BZ32" s="3"/>
      <c r="CA32" s="42"/>
      <c r="CB32" s="42"/>
      <c r="CC32" s="42"/>
      <c r="CD32" s="42"/>
      <c r="CE32" s="42"/>
      <c r="CF32" s="56"/>
      <c r="CJ32" s="32"/>
      <c r="CK32" s="32"/>
      <c r="CL32" s="3"/>
      <c r="CM32" s="3"/>
      <c r="CQ32" s="32"/>
      <c r="CR32" s="32"/>
      <c r="CS32" s="42"/>
      <c r="CT32" s="3"/>
      <c r="CX32" s="32"/>
      <c r="CY32" s="32"/>
      <c r="CZ32" s="43"/>
      <c r="DA32" s="42"/>
      <c r="DB32" s="42"/>
      <c r="DC32" s="42"/>
      <c r="DD32" s="42"/>
      <c r="DE32" s="42"/>
      <c r="DF32" s="42"/>
      <c r="DG32" s="42"/>
      <c r="DH32" s="42"/>
      <c r="DI32" s="42"/>
      <c r="DK32" s="13"/>
      <c r="DM32" s="3"/>
    </row>
    <row r="33" spans="1:117" ht="15.4" x14ac:dyDescent="0.55000000000000004">
      <c r="A33">
        <v>30</v>
      </c>
      <c r="B33" s="49">
        <v>1.5</v>
      </c>
      <c r="C33" s="12">
        <v>-5.5893600000000001</v>
      </c>
      <c r="D33" s="12">
        <v>1.1097999999999999</v>
      </c>
      <c r="E33" s="12">
        <v>1.85985</v>
      </c>
      <c r="F33" s="12">
        <v>-8.5559999999999997E-2</v>
      </c>
      <c r="G33" s="118">
        <v>8.3000000000000004E-2</v>
      </c>
      <c r="H33" s="12">
        <v>0</v>
      </c>
      <c r="I33" s="12">
        <v>7.0459999999999995E-2</v>
      </c>
      <c r="J33" s="12">
        <v>0.23361999999999999</v>
      </c>
      <c r="K33" s="12">
        <v>1.52E-2</v>
      </c>
      <c r="L33" s="12">
        <v>-2.4626999999999999</v>
      </c>
      <c r="M33" s="12">
        <v>3.8681700000000001</v>
      </c>
      <c r="N33" s="12">
        <v>-7.4230000000000004E-2</v>
      </c>
      <c r="O33" s="12">
        <v>-6.9999999999999999E-4</v>
      </c>
      <c r="P33" s="12">
        <v>-26.446570000000001</v>
      </c>
      <c r="Q33" s="12">
        <v>1.0618365465453596</v>
      </c>
      <c r="R33" s="12">
        <v>7.8200000000000006E-2</v>
      </c>
      <c r="S33" s="12">
        <v>0.40683000000000002</v>
      </c>
      <c r="T33" s="12">
        <v>1.08406</v>
      </c>
      <c r="U33">
        <v>0.63100000000000001</v>
      </c>
      <c r="V33">
        <v>0.34499999999999997</v>
      </c>
      <c r="W33">
        <v>0.71899999999999997</v>
      </c>
      <c r="X33">
        <v>0.437</v>
      </c>
      <c r="Y33" s="33">
        <v>0.1</v>
      </c>
      <c r="Z33" s="33">
        <v>0</v>
      </c>
      <c r="AA33" s="33">
        <v>-8.1632037182526995E-3</v>
      </c>
      <c r="AB33" s="33">
        <v>-4.7662835636152902E-2</v>
      </c>
      <c r="AC33" s="33">
        <v>-0.14024881823383958</v>
      </c>
      <c r="AD33">
        <v>0.246</v>
      </c>
      <c r="AE33">
        <v>0.44400000000000001</v>
      </c>
      <c r="AF33">
        <v>0.34699999999999998</v>
      </c>
      <c r="AG33">
        <v>0.496</v>
      </c>
      <c r="AH33">
        <v>0.56599999999999995</v>
      </c>
      <c r="AI33">
        <v>0.47699999999999998</v>
      </c>
      <c r="AJ33">
        <v>0.63200000000000001</v>
      </c>
      <c r="AK33">
        <v>0.42399999999999999</v>
      </c>
      <c r="AM33" s="3"/>
      <c r="AN33" s="3"/>
      <c r="AO33" s="32"/>
      <c r="AP33" s="3"/>
      <c r="AR33" s="3"/>
      <c r="AS33" s="3"/>
      <c r="AT33" s="3"/>
      <c r="AU33" s="3"/>
      <c r="AX33" s="33"/>
      <c r="AY33" s="49"/>
      <c r="AZ33" s="33"/>
      <c r="BA33" s="33"/>
      <c r="BB33" s="33"/>
      <c r="BC33" s="33"/>
      <c r="BO33" s="13"/>
      <c r="BP33" s="42"/>
      <c r="BQ33" s="42"/>
      <c r="BS33" s="3"/>
      <c r="BT33" s="42"/>
      <c r="BU33" s="42"/>
      <c r="BV33" s="42"/>
      <c r="BW33" s="3"/>
      <c r="BX33" s="3"/>
      <c r="BY33" s="3"/>
      <c r="BZ33" s="3"/>
      <c r="CA33" s="42"/>
      <c r="CB33" s="42"/>
      <c r="CC33" s="42"/>
      <c r="CD33" s="42"/>
      <c r="CE33" s="42"/>
      <c r="CF33" s="56"/>
      <c r="CJ33" s="32"/>
      <c r="CK33" s="32"/>
      <c r="CL33" s="3"/>
      <c r="CM33" s="3"/>
      <c r="CQ33" s="32"/>
      <c r="CR33" s="32"/>
      <c r="CS33" s="42"/>
      <c r="CT33" s="3"/>
      <c r="CX33" s="32"/>
      <c r="CY33" s="32"/>
      <c r="CZ33" s="43"/>
      <c r="DA33" s="42"/>
      <c r="DB33" s="42"/>
      <c r="DC33" s="42"/>
      <c r="DD33" s="42"/>
      <c r="DE33" s="42"/>
      <c r="DF33" s="42"/>
      <c r="DG33" s="42"/>
      <c r="DH33" s="42"/>
      <c r="DI33" s="42"/>
      <c r="DK33" s="13"/>
      <c r="DM33" s="3"/>
    </row>
    <row r="34" spans="1:117" ht="15.4" x14ac:dyDescent="0.55000000000000004">
      <c r="A34">
        <v>31</v>
      </c>
      <c r="B34" s="49">
        <v>2</v>
      </c>
      <c r="C34" s="12">
        <v>-5.6037100000000004</v>
      </c>
      <c r="D34" s="12">
        <v>1.12479</v>
      </c>
      <c r="E34" s="12">
        <v>1.99773</v>
      </c>
      <c r="F34" s="12">
        <v>-4.9910000000000003E-2</v>
      </c>
      <c r="G34" s="118">
        <v>5.2999999999999999E-2</v>
      </c>
      <c r="H34" s="12">
        <v>0</v>
      </c>
      <c r="I34" s="12">
        <v>6.5680000000000002E-2</v>
      </c>
      <c r="J34" s="12">
        <v>0.18035999999999999</v>
      </c>
      <c r="K34" s="12">
        <v>1.3429999999999999E-2</v>
      </c>
      <c r="L34" s="12">
        <v>-2.4568500000000002</v>
      </c>
      <c r="M34" s="12">
        <v>3.7763200000000001</v>
      </c>
      <c r="N34" s="12">
        <v>-3.3119999999999997E-2</v>
      </c>
      <c r="O34" s="12">
        <v>-4.6000000000000001E-4</v>
      </c>
      <c r="P34" s="12">
        <v>-27.342169999999999</v>
      </c>
      <c r="Q34" s="12">
        <v>1.0387312328784977</v>
      </c>
      <c r="R34" s="12">
        <v>4.8849999999999998E-2</v>
      </c>
      <c r="S34" s="12">
        <v>0.34315000000000001</v>
      </c>
      <c r="T34" s="12">
        <v>0.95428999999999997</v>
      </c>
      <c r="U34">
        <v>0.60899999999999999</v>
      </c>
      <c r="V34">
        <v>0.372</v>
      </c>
      <c r="W34">
        <v>0.71299999999999997</v>
      </c>
      <c r="X34">
        <v>0.40300000000000002</v>
      </c>
      <c r="Y34" s="33">
        <v>7.9470199000000005E-2</v>
      </c>
      <c r="Z34" s="33">
        <v>0</v>
      </c>
      <c r="AA34" s="33">
        <v>-6.1339216313629303E-3</v>
      </c>
      <c r="AB34" s="33">
        <v>-2.3571593425103E-2</v>
      </c>
      <c r="AC34" s="33">
        <v>-5.7484241271819246E-2</v>
      </c>
      <c r="AD34">
        <v>0.23400000000000001</v>
      </c>
      <c r="AE34">
        <v>0.44800000000000001</v>
      </c>
      <c r="AF34">
        <v>0.32100000000000001</v>
      </c>
      <c r="AG34">
        <v>0.48699999999999999</v>
      </c>
      <c r="AH34">
        <v>0.52800000000000002</v>
      </c>
      <c r="AI34">
        <v>0.47199999999999998</v>
      </c>
      <c r="AJ34">
        <v>0.58799999999999997</v>
      </c>
      <c r="AK34">
        <v>0.38100000000000001</v>
      </c>
      <c r="AM34" s="3"/>
      <c r="AN34" s="3"/>
      <c r="AO34" s="32"/>
      <c r="AP34" s="3"/>
      <c r="AR34" s="3"/>
      <c r="AS34" s="3"/>
      <c r="AT34" s="3"/>
      <c r="AU34" s="3"/>
      <c r="AX34" s="33"/>
      <c r="AY34" s="49"/>
      <c r="AZ34" s="33"/>
      <c r="BA34" s="33"/>
      <c r="BB34" s="33"/>
      <c r="BC34" s="33"/>
      <c r="BO34" s="13"/>
      <c r="BP34" s="42"/>
      <c r="BQ34" s="42"/>
      <c r="BS34" s="3"/>
      <c r="BT34" s="42"/>
      <c r="BU34" s="42"/>
      <c r="BV34" s="42"/>
      <c r="BW34" s="3"/>
      <c r="BX34" s="3"/>
      <c r="BY34" s="3"/>
      <c r="BZ34" s="3"/>
      <c r="CA34" s="42"/>
      <c r="CB34" s="42"/>
      <c r="CC34" s="42"/>
      <c r="CD34" s="42"/>
      <c r="CE34" s="42"/>
      <c r="CF34" s="56"/>
      <c r="CJ34" s="32"/>
      <c r="CK34" s="32"/>
      <c r="CL34" s="3"/>
      <c r="CM34" s="3"/>
      <c r="CQ34" s="32"/>
      <c r="CR34" s="32"/>
      <c r="CS34" s="42"/>
      <c r="CT34" s="3"/>
      <c r="CX34" s="32"/>
      <c r="CY34" s="32"/>
      <c r="CZ34" s="43"/>
      <c r="DA34" s="42"/>
      <c r="DB34" s="42"/>
      <c r="DC34" s="42"/>
      <c r="DD34" s="42"/>
      <c r="DE34" s="42"/>
      <c r="DF34" s="42"/>
      <c r="DG34" s="42"/>
      <c r="DH34" s="42"/>
      <c r="DI34" s="42"/>
      <c r="DK34" s="13"/>
      <c r="DM34" s="3"/>
    </row>
    <row r="35" spans="1:117" ht="15.4" x14ac:dyDescent="0.55000000000000004">
      <c r="A35">
        <v>32</v>
      </c>
      <c r="B35" s="49">
        <v>2.5</v>
      </c>
      <c r="C35" s="12">
        <v>-5.6037100000000004</v>
      </c>
      <c r="D35" s="12">
        <v>1.1348199999999999</v>
      </c>
      <c r="E35" s="12">
        <v>2.1091700000000002</v>
      </c>
      <c r="F35" s="12">
        <v>-1.285E-2</v>
      </c>
      <c r="G35" s="118">
        <v>0.03</v>
      </c>
      <c r="H35" s="12">
        <v>0</v>
      </c>
      <c r="I35" s="12">
        <v>6.6269999999999996E-2</v>
      </c>
      <c r="J35" s="12">
        <v>0.14699999999999999</v>
      </c>
      <c r="K35" s="12">
        <v>1.175E-2</v>
      </c>
      <c r="L35" s="12">
        <v>-2.4176899999999999</v>
      </c>
      <c r="M35" s="12">
        <v>3.61084</v>
      </c>
      <c r="N35" s="12">
        <v>-7.3099999999999997E-3</v>
      </c>
      <c r="O35" s="12">
        <v>-3.8000000000000002E-4</v>
      </c>
      <c r="P35" s="12">
        <v>-27.670999999999999</v>
      </c>
      <c r="Q35" s="12">
        <v>1.0304545339535169</v>
      </c>
      <c r="R35" s="12">
        <v>3.8699999999999998E-2</v>
      </c>
      <c r="S35" s="12">
        <v>0.30499999999999999</v>
      </c>
      <c r="T35" s="12">
        <v>0.84667000000000003</v>
      </c>
      <c r="U35">
        <v>0.59299999999999997</v>
      </c>
      <c r="V35">
        <v>0.375</v>
      </c>
      <c r="W35">
        <v>0.70199999999999996</v>
      </c>
      <c r="X35">
        <v>0.36399999999999999</v>
      </c>
      <c r="Y35" s="33">
        <v>6.4238410999999995E-2</v>
      </c>
      <c r="Z35" s="33">
        <v>0</v>
      </c>
      <c r="AA35" s="33">
        <v>-2.35178142717607E-3</v>
      </c>
      <c r="AB35" s="33">
        <v>-6.7350687636081796E-3</v>
      </c>
      <c r="AC35" s="33">
        <v>-1.0129605633472157E-2</v>
      </c>
      <c r="AD35">
        <v>0.222</v>
      </c>
      <c r="AE35">
        <v>0.46800000000000003</v>
      </c>
      <c r="AF35">
        <v>0.28499999999999998</v>
      </c>
      <c r="AG35">
        <v>0.49</v>
      </c>
      <c r="AH35">
        <v>0.47399999999999998</v>
      </c>
      <c r="AI35">
        <v>0.45400000000000001</v>
      </c>
      <c r="AJ35">
        <v>0.626</v>
      </c>
      <c r="AK35">
        <v>0.39600000000000002</v>
      </c>
      <c r="AM35" s="3"/>
      <c r="AN35" s="3"/>
      <c r="AO35" s="32"/>
      <c r="AP35" s="3"/>
      <c r="AR35" s="3"/>
      <c r="AS35" s="3"/>
      <c r="AT35" s="3"/>
      <c r="AU35" s="3"/>
      <c r="AX35" s="33"/>
      <c r="AY35" s="49"/>
      <c r="AZ35" s="33"/>
      <c r="BA35" s="33"/>
      <c r="BB35" s="33"/>
      <c r="BC35" s="33"/>
      <c r="BO35" s="13"/>
      <c r="BP35" s="42"/>
      <c r="BQ35" s="42"/>
      <c r="BS35" s="3"/>
      <c r="BT35" s="42"/>
      <c r="BU35" s="42"/>
      <c r="BV35" s="42"/>
      <c r="BW35" s="3"/>
      <c r="BX35" s="3"/>
      <c r="BY35" s="3"/>
      <c r="BZ35" s="3"/>
      <c r="CA35" s="42"/>
      <c r="CB35" s="42"/>
      <c r="CC35" s="42"/>
      <c r="CD35" s="42"/>
      <c r="CE35" s="42"/>
      <c r="CF35" s="56"/>
      <c r="CJ35" s="32"/>
      <c r="CK35" s="32"/>
      <c r="CL35" s="3"/>
      <c r="CM35" s="3"/>
      <c r="CQ35" s="32"/>
      <c r="CR35" s="32"/>
      <c r="CS35" s="42"/>
      <c r="CT35" s="3"/>
      <c r="CX35" s="32"/>
      <c r="CY35" s="32"/>
      <c r="CZ35" s="43"/>
      <c r="DA35" s="42"/>
      <c r="DB35" s="42"/>
      <c r="DC35" s="42"/>
      <c r="DD35" s="42"/>
      <c r="DE35" s="42"/>
      <c r="DF35" s="42"/>
      <c r="DG35" s="42"/>
      <c r="DH35" s="42"/>
      <c r="DI35" s="42"/>
      <c r="DK35" s="13"/>
      <c r="DM35" s="3"/>
    </row>
    <row r="36" spans="1:117" ht="15.4" x14ac:dyDescent="0.55000000000000004">
      <c r="A36">
        <v>33</v>
      </c>
      <c r="B36" s="49">
        <v>3</v>
      </c>
      <c r="C36" s="12">
        <v>-5.6037100000000004</v>
      </c>
      <c r="D36" s="12">
        <v>1.1414200000000001</v>
      </c>
      <c r="E36" s="12">
        <v>2.2006399999999999</v>
      </c>
      <c r="F36" s="12">
        <v>1.7749999999999998E-2</v>
      </c>
      <c r="G36" s="118">
        <v>1.0999999999999999E-2</v>
      </c>
      <c r="H36" s="12">
        <v>0</v>
      </c>
      <c r="I36" s="12">
        <v>6.9639999999999994E-2</v>
      </c>
      <c r="J36" s="12">
        <v>0.12570000000000001</v>
      </c>
      <c r="K36" s="12">
        <v>1.013E-2</v>
      </c>
      <c r="L36" s="12">
        <v>-2.34951</v>
      </c>
      <c r="M36" s="12">
        <v>3.42258</v>
      </c>
      <c r="N36" s="12">
        <v>0</v>
      </c>
      <c r="O36" s="12">
        <v>-3.5E-4</v>
      </c>
      <c r="P36" s="12">
        <v>-27.753209999999999</v>
      </c>
      <c r="Q36" s="12">
        <v>1.0294245944751308</v>
      </c>
      <c r="R36" s="12">
        <v>3.8129999999999997E-2</v>
      </c>
      <c r="S36" s="12">
        <v>0.28225</v>
      </c>
      <c r="T36" s="12">
        <v>0.76773999999999998</v>
      </c>
      <c r="U36">
        <v>0.57799999999999996</v>
      </c>
      <c r="V36">
        <v>0.37</v>
      </c>
      <c r="W36">
        <v>0.68700000000000006</v>
      </c>
      <c r="X36">
        <v>0.32400000000000001</v>
      </c>
      <c r="Y36" s="33">
        <v>5.2317880999999997E-2</v>
      </c>
      <c r="Z36" s="33">
        <v>0</v>
      </c>
      <c r="AA36" s="33">
        <v>-2.5218163084282258E-17</v>
      </c>
      <c r="AB36" s="33">
        <v>-4.6834442762404993E-17</v>
      </c>
      <c r="AC36" s="33">
        <v>-6.0073943951121937E-17</v>
      </c>
      <c r="AD36">
        <v>0.224</v>
      </c>
      <c r="AE36">
        <v>0.46500000000000002</v>
      </c>
      <c r="AF36">
        <v>0.22900000000000001</v>
      </c>
      <c r="AG36">
        <v>0.49</v>
      </c>
      <c r="AH36">
        <v>0.41699999999999998</v>
      </c>
      <c r="AI36">
        <v>0.46100000000000002</v>
      </c>
      <c r="AJ36">
        <v>0.66600000000000004</v>
      </c>
      <c r="AK36">
        <v>0.40500000000000003</v>
      </c>
      <c r="AM36" s="3"/>
      <c r="AN36" s="3"/>
      <c r="AO36" s="32"/>
      <c r="AP36" s="3"/>
      <c r="AR36" s="3"/>
      <c r="AS36" s="3"/>
      <c r="AT36" s="3"/>
      <c r="AU36" s="3"/>
      <c r="AX36" s="33"/>
      <c r="AY36" s="49"/>
      <c r="AZ36" s="33"/>
      <c r="BA36" s="33"/>
      <c r="BB36" s="33"/>
      <c r="BC36" s="33"/>
      <c r="BO36" s="13"/>
      <c r="BP36" s="42"/>
      <c r="BQ36" s="42"/>
      <c r="BS36" s="3"/>
      <c r="BT36" s="42"/>
      <c r="BU36" s="42"/>
      <c r="BV36" s="42"/>
      <c r="BW36" s="3"/>
      <c r="BX36" s="3"/>
      <c r="BY36" s="3"/>
      <c r="BZ36" s="3"/>
      <c r="CA36" s="42"/>
      <c r="CB36" s="42"/>
      <c r="CC36" s="42"/>
      <c r="CD36" s="42"/>
      <c r="CE36" s="42"/>
      <c r="CF36" s="56"/>
      <c r="CJ36" s="32"/>
      <c r="CK36" s="32"/>
      <c r="CL36" s="3"/>
      <c r="CM36" s="3"/>
      <c r="CQ36" s="32"/>
      <c r="CR36" s="32"/>
      <c r="CS36" s="42"/>
      <c r="CT36" s="3"/>
      <c r="CX36" s="32"/>
      <c r="CY36" s="32"/>
      <c r="CZ36" s="43"/>
      <c r="DA36" s="42"/>
      <c r="DB36" s="42"/>
      <c r="DC36" s="42"/>
      <c r="DD36" s="42"/>
      <c r="DE36" s="42"/>
      <c r="DF36" s="42"/>
      <c r="DG36" s="42"/>
      <c r="DH36" s="42"/>
      <c r="DI36" s="42"/>
      <c r="DK36" s="13"/>
      <c r="DM36" s="3"/>
    </row>
    <row r="37" spans="1:117" ht="15.4" x14ac:dyDescent="0.55000000000000004">
      <c r="A37">
        <v>34</v>
      </c>
      <c r="B37" s="49">
        <v>3.5</v>
      </c>
      <c r="C37" s="12">
        <v>-5.6037100000000004</v>
      </c>
      <c r="D37" s="12">
        <v>1.14571</v>
      </c>
      <c r="E37" s="12">
        <v>2.2793600000000001</v>
      </c>
      <c r="F37" s="12">
        <v>4.8050000000000002E-2</v>
      </c>
      <c r="G37" s="118">
        <v>0</v>
      </c>
      <c r="H37" s="12">
        <v>0</v>
      </c>
      <c r="I37" s="12">
        <v>7.4579999999999994E-2</v>
      </c>
      <c r="J37" s="12">
        <v>0.11247</v>
      </c>
      <c r="K37" s="12">
        <v>8.7399999999999995E-3</v>
      </c>
      <c r="L37" s="12">
        <v>-2.27475</v>
      </c>
      <c r="M37" s="12">
        <v>3.2346499999999998</v>
      </c>
      <c r="N37" s="12">
        <v>0</v>
      </c>
      <c r="O37" s="12">
        <v>-3.2000000000000003E-4</v>
      </c>
      <c r="P37" s="12">
        <v>-27.739820000000002</v>
      </c>
      <c r="Q37" s="12">
        <v>1.0335505392413056</v>
      </c>
      <c r="R37" s="12">
        <v>4.2560000000000001E-2</v>
      </c>
      <c r="S37" s="12">
        <v>0.26917999999999997</v>
      </c>
      <c r="T37" s="12">
        <v>0.71833999999999998</v>
      </c>
      <c r="U37">
        <v>0.56200000000000006</v>
      </c>
      <c r="V37">
        <v>0.38800000000000001</v>
      </c>
      <c r="W37">
        <v>0.68300000000000005</v>
      </c>
      <c r="X37">
        <v>0.28899999999999998</v>
      </c>
      <c r="Y37" s="33">
        <v>4.3046358E-2</v>
      </c>
      <c r="Z37" s="33">
        <v>0</v>
      </c>
      <c r="AA37" s="33">
        <v>0</v>
      </c>
      <c r="AB37" s="33">
        <v>0</v>
      </c>
      <c r="AC37" s="33">
        <v>0</v>
      </c>
      <c r="AD37">
        <v>0.18099999999999999</v>
      </c>
      <c r="AE37">
        <v>0.45300000000000001</v>
      </c>
      <c r="AF37">
        <v>0.19700000000000001</v>
      </c>
      <c r="AG37">
        <v>0.48399999999999999</v>
      </c>
      <c r="AH37">
        <v>0.377</v>
      </c>
      <c r="AI37">
        <v>0.45700000000000002</v>
      </c>
      <c r="AJ37">
        <v>0.67</v>
      </c>
      <c r="AK37">
        <v>0.41599999999999998</v>
      </c>
      <c r="AM37" s="3"/>
      <c r="AN37" s="3"/>
      <c r="AO37" s="32"/>
      <c r="AP37" s="3"/>
      <c r="AR37" s="3"/>
      <c r="AS37" s="3"/>
      <c r="AT37" s="3"/>
      <c r="AU37" s="3"/>
      <c r="AX37" s="33"/>
      <c r="AY37" s="49"/>
      <c r="AZ37" s="33"/>
      <c r="BA37" s="33"/>
      <c r="BB37" s="33"/>
      <c r="BC37" s="33"/>
      <c r="BO37" s="13"/>
      <c r="BP37" s="42"/>
      <c r="BQ37" s="42"/>
      <c r="BS37" s="3"/>
      <c r="BT37" s="42"/>
      <c r="BU37" s="42"/>
      <c r="BV37" s="42"/>
      <c r="BW37" s="3"/>
      <c r="BX37" s="3"/>
      <c r="BY37" s="3"/>
      <c r="BZ37" s="3"/>
      <c r="CA37" s="42"/>
      <c r="CB37" s="42"/>
      <c r="CC37" s="42"/>
      <c r="CD37" s="42"/>
      <c r="CE37" s="42"/>
      <c r="CF37" s="56"/>
      <c r="CJ37" s="32"/>
      <c r="CK37" s="32"/>
      <c r="CL37" s="3"/>
      <c r="CM37" s="3"/>
      <c r="CQ37" s="32"/>
      <c r="CR37" s="32"/>
      <c r="CS37" s="42"/>
      <c r="CT37" s="3"/>
      <c r="CX37" s="32"/>
      <c r="CY37" s="32"/>
      <c r="CZ37" s="43"/>
      <c r="DA37" s="42"/>
      <c r="DB37" s="42"/>
      <c r="DC37" s="42"/>
      <c r="DD37" s="42"/>
      <c r="DE37" s="42"/>
      <c r="DF37" s="42"/>
      <c r="DG37" s="42"/>
      <c r="DH37" s="42"/>
      <c r="DI37" s="42"/>
      <c r="DK37" s="13"/>
      <c r="DM37" s="3"/>
    </row>
    <row r="38" spans="1:117" ht="15.4" x14ac:dyDescent="0.55000000000000004">
      <c r="A38">
        <v>35</v>
      </c>
      <c r="B38" s="49">
        <v>4</v>
      </c>
      <c r="C38" s="12">
        <v>-5.6037100000000004</v>
      </c>
      <c r="D38" s="12">
        <v>1.14832</v>
      </c>
      <c r="E38" s="12">
        <v>2.34219</v>
      </c>
      <c r="F38" s="12">
        <v>7.893E-2</v>
      </c>
      <c r="G38" s="118">
        <v>0</v>
      </c>
      <c r="H38" s="12">
        <v>0</v>
      </c>
      <c r="I38" s="12">
        <v>8.047E-2</v>
      </c>
      <c r="J38" s="12">
        <v>0.10475</v>
      </c>
      <c r="K38" s="12">
        <v>7.4999999999999997E-3</v>
      </c>
      <c r="L38" s="12">
        <v>-2.1984499999999998</v>
      </c>
      <c r="M38" s="12">
        <v>3.05783</v>
      </c>
      <c r="N38" s="12">
        <v>0</v>
      </c>
      <c r="O38" s="12">
        <v>-3.1E-4</v>
      </c>
      <c r="P38" s="12">
        <v>-27.676169999999999</v>
      </c>
      <c r="Q38" s="12">
        <v>1.0387312328784977</v>
      </c>
      <c r="R38" s="12">
        <v>4.9610000000000001E-2</v>
      </c>
      <c r="S38" s="12">
        <v>0.26238</v>
      </c>
      <c r="T38" s="12">
        <v>0.68906000000000001</v>
      </c>
      <c r="U38">
        <v>0.54900000000000004</v>
      </c>
      <c r="V38">
        <v>0.376</v>
      </c>
      <c r="W38">
        <v>0.66500000000000004</v>
      </c>
      <c r="X38">
        <v>0.26</v>
      </c>
      <c r="Y38" s="33">
        <v>3.6423840999999998E-2</v>
      </c>
      <c r="Z38" s="33">
        <v>0</v>
      </c>
      <c r="AA38" s="33">
        <v>0</v>
      </c>
      <c r="AB38" s="33">
        <v>0</v>
      </c>
      <c r="AC38" s="33">
        <v>0</v>
      </c>
      <c r="AD38">
        <v>0.193</v>
      </c>
      <c r="AE38">
        <v>0.44400000000000001</v>
      </c>
      <c r="AF38">
        <v>0.17100000000000001</v>
      </c>
      <c r="AG38">
        <v>0.47199999999999998</v>
      </c>
      <c r="AH38">
        <v>0.33100000000000002</v>
      </c>
      <c r="AI38">
        <v>0.46400000000000002</v>
      </c>
      <c r="AJ38">
        <v>0.628</v>
      </c>
      <c r="AK38">
        <v>0.44700000000000001</v>
      </c>
      <c r="AM38" s="3"/>
      <c r="AN38" s="3"/>
      <c r="AO38" s="32"/>
      <c r="AP38" s="3"/>
      <c r="AR38" s="3"/>
      <c r="AS38" s="3"/>
      <c r="AT38" s="3"/>
      <c r="AU38" s="3"/>
      <c r="AX38" s="33"/>
      <c r="AY38" s="49"/>
      <c r="AZ38" s="33"/>
      <c r="BA38" s="33"/>
      <c r="BB38" s="33"/>
      <c r="BC38" s="33"/>
      <c r="BO38" s="13"/>
      <c r="BP38" s="42"/>
      <c r="BQ38" s="42"/>
      <c r="BS38" s="3"/>
      <c r="BT38" s="42"/>
      <c r="BU38" s="42"/>
      <c r="BV38" s="42"/>
      <c r="BW38" s="3"/>
      <c r="BX38" s="3"/>
      <c r="BY38" s="3"/>
      <c r="BZ38" s="3"/>
      <c r="CA38" s="42"/>
      <c r="CB38" s="42"/>
      <c r="CC38" s="42"/>
      <c r="CD38" s="42"/>
      <c r="CE38" s="42"/>
      <c r="CF38" s="56"/>
      <c r="CJ38" s="32"/>
      <c r="CK38" s="32"/>
      <c r="CL38" s="3"/>
      <c r="CM38" s="3"/>
      <c r="CQ38" s="32"/>
      <c r="CR38" s="32"/>
      <c r="CS38" s="42"/>
      <c r="CT38" s="3"/>
      <c r="CX38" s="32"/>
      <c r="CY38" s="32"/>
      <c r="CZ38" s="43"/>
      <c r="DA38" s="42"/>
      <c r="DB38" s="42"/>
      <c r="DC38" s="42"/>
      <c r="DD38" s="42"/>
      <c r="DE38" s="42"/>
      <c r="DF38" s="42"/>
      <c r="DG38" s="42"/>
      <c r="DH38" s="42"/>
      <c r="DI38" s="42"/>
      <c r="DK38" s="13"/>
      <c r="DM38" s="3"/>
    </row>
    <row r="39" spans="1:117" ht="15.4" x14ac:dyDescent="0.55000000000000004">
      <c r="A39">
        <v>36</v>
      </c>
      <c r="B39" s="49">
        <v>4.5</v>
      </c>
      <c r="C39" s="12">
        <v>-5.6037100000000004</v>
      </c>
      <c r="D39" s="12">
        <v>1.1498699999999999</v>
      </c>
      <c r="E39" s="12">
        <v>2.3936199999999999</v>
      </c>
      <c r="F39" s="12">
        <v>0.10743999999999999</v>
      </c>
      <c r="G39" s="118">
        <v>0</v>
      </c>
      <c r="H39" s="12">
        <v>0</v>
      </c>
      <c r="I39" s="12">
        <v>8.695E-2</v>
      </c>
      <c r="J39" s="12">
        <v>0.10073</v>
      </c>
      <c r="K39" s="12">
        <v>6.4000000000000003E-3</v>
      </c>
      <c r="L39" s="12">
        <v>-2.1267499999999999</v>
      </c>
      <c r="M39" s="12">
        <v>2.8969800000000001</v>
      </c>
      <c r="N39" s="12">
        <v>0</v>
      </c>
      <c r="O39" s="12">
        <v>-3.1E-4</v>
      </c>
      <c r="P39" s="12">
        <v>-27.593050000000002</v>
      </c>
      <c r="Q39" s="12">
        <v>1.0460278599087169</v>
      </c>
      <c r="R39" s="12">
        <v>5.7939999999999998E-2</v>
      </c>
      <c r="S39" s="12">
        <v>0.25974000000000003</v>
      </c>
      <c r="T39" s="12">
        <v>0.67223999999999995</v>
      </c>
      <c r="U39">
        <v>0.53500000000000003</v>
      </c>
      <c r="V39">
        <v>0.36799999999999999</v>
      </c>
      <c r="W39">
        <v>0.64900000000000002</v>
      </c>
      <c r="X39">
        <v>0.247</v>
      </c>
      <c r="Y39" s="33">
        <v>3.0463575999999999E-2</v>
      </c>
      <c r="Z39" s="33">
        <v>0</v>
      </c>
      <c r="AA39" s="33">
        <v>0</v>
      </c>
      <c r="AB39" s="33">
        <v>0</v>
      </c>
      <c r="AC39" s="33">
        <v>0</v>
      </c>
      <c r="AD39">
        <v>0.16300000000000001</v>
      </c>
      <c r="AE39">
        <v>0.43099999999999999</v>
      </c>
      <c r="AF39">
        <v>0.16900000000000001</v>
      </c>
      <c r="AG39">
        <v>0.45900000000000002</v>
      </c>
      <c r="AH39">
        <v>0.32600000000000001</v>
      </c>
      <c r="AI39">
        <v>0.45400000000000001</v>
      </c>
      <c r="AJ39">
        <v>0.55000000000000004</v>
      </c>
      <c r="AK39">
        <v>0.443</v>
      </c>
      <c r="AM39" s="3"/>
      <c r="AN39" s="3"/>
      <c r="AO39" s="32"/>
      <c r="AP39" s="3"/>
      <c r="AR39" s="3"/>
      <c r="AS39" s="3"/>
      <c r="AT39" s="3"/>
      <c r="AU39" s="3"/>
      <c r="AX39" s="33"/>
      <c r="AY39" s="49"/>
      <c r="AZ39" s="33"/>
      <c r="BA39" s="33"/>
      <c r="BB39" s="33"/>
      <c r="BC39" s="33"/>
      <c r="BO39" s="13"/>
      <c r="BP39" s="42"/>
      <c r="BQ39" s="42"/>
      <c r="BS39" s="3"/>
      <c r="BT39" s="42"/>
      <c r="BU39" s="42"/>
      <c r="BV39" s="42"/>
      <c r="BW39" s="3"/>
      <c r="BX39" s="3"/>
      <c r="BY39" s="3"/>
      <c r="BZ39" s="3"/>
      <c r="CA39" s="42"/>
      <c r="CB39" s="42"/>
      <c r="CC39" s="42"/>
      <c r="CD39" s="42"/>
      <c r="CE39" s="42"/>
      <c r="CF39" s="56"/>
      <c r="CJ39" s="32"/>
      <c r="CK39" s="32"/>
      <c r="CL39" s="3"/>
      <c r="CM39" s="3"/>
      <c r="CQ39" s="32"/>
      <c r="CR39" s="32"/>
      <c r="CS39" s="42"/>
      <c r="CT39" s="3"/>
      <c r="CX39" s="32"/>
      <c r="CY39" s="32"/>
      <c r="CZ39" s="43"/>
      <c r="DA39" s="42"/>
      <c r="DB39" s="42"/>
      <c r="DC39" s="42"/>
      <c r="DD39" s="42"/>
      <c r="DE39" s="42"/>
      <c r="DF39" s="42"/>
      <c r="DG39" s="42"/>
      <c r="DH39" s="42"/>
      <c r="DI39" s="42"/>
      <c r="DK39" s="13"/>
      <c r="DM39" s="3"/>
    </row>
    <row r="40" spans="1:117" ht="15.4" x14ac:dyDescent="0.55000000000000004">
      <c r="A40">
        <v>37</v>
      </c>
      <c r="B40" s="49">
        <v>5</v>
      </c>
      <c r="C40" s="12">
        <v>-5.6037100000000004</v>
      </c>
      <c r="D40" s="12">
        <v>1.15073</v>
      </c>
      <c r="E40" s="12">
        <v>2.4357000000000002</v>
      </c>
      <c r="F40" s="12">
        <v>0.13428999999999999</v>
      </c>
      <c r="G40" s="118">
        <v>0</v>
      </c>
      <c r="H40" s="12">
        <v>0</v>
      </c>
      <c r="I40" s="12">
        <v>9.3789999999999998E-2</v>
      </c>
      <c r="J40" s="12">
        <v>9.9180000000000004E-2</v>
      </c>
      <c r="K40" s="12">
        <v>5.4299999999999999E-3</v>
      </c>
      <c r="L40" s="12">
        <v>-2.05253</v>
      </c>
      <c r="M40" s="12">
        <v>2.75407</v>
      </c>
      <c r="N40" s="12">
        <v>0</v>
      </c>
      <c r="O40" s="12">
        <v>-3.1E-4</v>
      </c>
      <c r="P40" s="12">
        <v>-27.536380000000001</v>
      </c>
      <c r="Q40" s="12">
        <v>1.0523228932832038</v>
      </c>
      <c r="R40" s="12">
        <v>6.6769999999999996E-2</v>
      </c>
      <c r="S40" s="12">
        <v>0.25989000000000001</v>
      </c>
      <c r="T40" s="12">
        <v>0.66368000000000005</v>
      </c>
      <c r="U40">
        <v>0.52100000000000002</v>
      </c>
      <c r="V40">
        <v>0.35599999999999998</v>
      </c>
      <c r="W40">
        <v>0.63100000000000001</v>
      </c>
      <c r="X40">
        <v>0.247</v>
      </c>
      <c r="Y40" s="33">
        <v>2.6490066E-2</v>
      </c>
      <c r="Z40" s="33">
        <v>0</v>
      </c>
      <c r="AA40" s="33">
        <v>0</v>
      </c>
      <c r="AB40" s="33">
        <v>0</v>
      </c>
      <c r="AC40" s="33">
        <v>0</v>
      </c>
      <c r="AD40">
        <v>0.186</v>
      </c>
      <c r="AE40">
        <v>0.40699999999999997</v>
      </c>
      <c r="AF40">
        <v>0.16900000000000001</v>
      </c>
      <c r="AG40">
        <v>0.442</v>
      </c>
      <c r="AH40">
        <v>0.314</v>
      </c>
      <c r="AI40">
        <v>0.45200000000000001</v>
      </c>
      <c r="AJ40">
        <v>0.53700000000000003</v>
      </c>
      <c r="AK40">
        <v>0.437</v>
      </c>
      <c r="AM40" s="3"/>
      <c r="AN40" s="3"/>
      <c r="AO40" s="32"/>
      <c r="AP40" s="3"/>
      <c r="AR40" s="3"/>
      <c r="AS40" s="3"/>
      <c r="AT40" s="3"/>
      <c r="AU40" s="3"/>
      <c r="AX40" s="33"/>
      <c r="AY40" s="49"/>
      <c r="AZ40" s="33"/>
      <c r="BA40" s="33"/>
      <c r="BB40" s="33"/>
      <c r="BC40" s="33"/>
      <c r="BO40" s="13"/>
      <c r="BP40" s="42"/>
      <c r="BQ40" s="42"/>
      <c r="BS40" s="3"/>
      <c r="BT40" s="42"/>
      <c r="BU40" s="42"/>
      <c r="BV40" s="42"/>
      <c r="BW40" s="3"/>
      <c r="BX40" s="3"/>
      <c r="BY40" s="3"/>
      <c r="BZ40" s="3"/>
      <c r="CA40" s="42"/>
      <c r="CB40" s="42"/>
      <c r="CC40" s="42"/>
      <c r="CD40" s="42"/>
      <c r="CE40" s="42"/>
      <c r="CF40" s="56"/>
      <c r="CJ40" s="32"/>
      <c r="CK40" s="32"/>
      <c r="CL40" s="3"/>
      <c r="CM40" s="3"/>
      <c r="CQ40" s="32"/>
      <c r="CR40" s="32"/>
      <c r="CS40" s="42"/>
      <c r="CT40" s="3"/>
      <c r="CX40" s="32"/>
      <c r="CY40" s="32"/>
      <c r="CZ40" s="43"/>
      <c r="DA40" s="42"/>
      <c r="DB40" s="42"/>
      <c r="DC40" s="42"/>
      <c r="DD40" s="42"/>
      <c r="DE40" s="42"/>
      <c r="DF40" s="42"/>
      <c r="DG40" s="42"/>
      <c r="DH40" s="42"/>
      <c r="DI40" s="42"/>
      <c r="DK40" s="13"/>
      <c r="DM40" s="3"/>
    </row>
    <row r="41" spans="1:117" ht="15.4" x14ac:dyDescent="0.55000000000000004">
      <c r="A41">
        <v>38</v>
      </c>
      <c r="B41" s="49">
        <v>6</v>
      </c>
      <c r="C41" s="12">
        <v>-5.6037100000000004</v>
      </c>
      <c r="D41" s="12">
        <v>1.151</v>
      </c>
      <c r="E41" s="12">
        <v>2.49777</v>
      </c>
      <c r="F41" s="12">
        <v>0.18285999999999999</v>
      </c>
      <c r="G41" s="118">
        <v>0</v>
      </c>
      <c r="H41" s="12">
        <v>0</v>
      </c>
      <c r="I41" s="12">
        <v>0.10806</v>
      </c>
      <c r="J41" s="12">
        <v>0.10029</v>
      </c>
      <c r="K41" s="12">
        <v>3.79E-3</v>
      </c>
      <c r="L41" s="12">
        <v>-1.9328700000000001</v>
      </c>
      <c r="M41" s="12">
        <v>2.5229900000000001</v>
      </c>
      <c r="N41" s="12">
        <v>0</v>
      </c>
      <c r="O41" s="12">
        <v>-2.9999999999999997E-4</v>
      </c>
      <c r="P41" s="12">
        <v>-27.454000000000001</v>
      </c>
      <c r="Q41" s="12">
        <v>1.0671590243841926</v>
      </c>
      <c r="R41" s="12">
        <v>8.4260000000000002E-2</v>
      </c>
      <c r="S41" s="12">
        <v>0.26516000000000001</v>
      </c>
      <c r="T41" s="12">
        <v>0.66025999999999996</v>
      </c>
      <c r="U41">
        <v>0.504</v>
      </c>
      <c r="V41">
        <v>0.34899999999999998</v>
      </c>
      <c r="W41">
        <v>0.61299999999999999</v>
      </c>
      <c r="X41">
        <v>0.254</v>
      </c>
      <c r="Y41" s="33">
        <v>1.9752014991194101E-2</v>
      </c>
      <c r="Z41" s="33">
        <v>0</v>
      </c>
      <c r="AA41" s="33">
        <v>0</v>
      </c>
      <c r="AB41" s="33">
        <v>0</v>
      </c>
      <c r="AC41" s="33">
        <v>0</v>
      </c>
      <c r="AD41">
        <v>0.223</v>
      </c>
      <c r="AE41">
        <v>0.40300000000000002</v>
      </c>
      <c r="AF41">
        <v>0.19700000000000001</v>
      </c>
      <c r="AG41">
        <v>0.42499999999999999</v>
      </c>
      <c r="AH41">
        <v>0.317</v>
      </c>
      <c r="AI41">
        <v>0.40699999999999997</v>
      </c>
      <c r="AJ41">
        <v>0.38900000000000001</v>
      </c>
      <c r="AK41">
        <v>0.41699999999999998</v>
      </c>
      <c r="AO41" s="32"/>
    </row>
    <row r="42" spans="1:117" ht="15.4" x14ac:dyDescent="0.55000000000000004">
      <c r="A42">
        <v>39</v>
      </c>
      <c r="B42" s="49">
        <v>7</v>
      </c>
      <c r="C42" s="12">
        <v>-5.6037100000000004</v>
      </c>
      <c r="D42" s="12">
        <v>1.151</v>
      </c>
      <c r="E42" s="12">
        <v>2.5375100000000002</v>
      </c>
      <c r="F42" s="12">
        <v>0.22994999999999999</v>
      </c>
      <c r="G42" s="118">
        <v>0</v>
      </c>
      <c r="H42" s="12">
        <v>0</v>
      </c>
      <c r="I42" s="12">
        <v>0.12263</v>
      </c>
      <c r="J42" s="12">
        <v>0.10376000000000001</v>
      </c>
      <c r="K42" s="12">
        <v>2.5000000000000001E-3</v>
      </c>
      <c r="L42" s="12">
        <v>-1.8409899999999999</v>
      </c>
      <c r="M42" s="12">
        <v>2.3608799999999999</v>
      </c>
      <c r="N42" s="12">
        <v>0</v>
      </c>
      <c r="O42" s="12">
        <v>-2.9999999999999997E-4</v>
      </c>
      <c r="P42" s="12">
        <v>-27.470880000000001</v>
      </c>
      <c r="Q42" s="12">
        <v>1.0800420763926004</v>
      </c>
      <c r="R42" s="12">
        <v>0.10018000000000001</v>
      </c>
      <c r="S42" s="12">
        <v>0.27376</v>
      </c>
      <c r="T42" s="12">
        <v>0.66376999999999997</v>
      </c>
      <c r="U42">
        <v>0.497</v>
      </c>
      <c r="V42">
        <v>0.33500000000000002</v>
      </c>
      <c r="W42">
        <v>0.59899999999999998</v>
      </c>
      <c r="X42">
        <v>0.24399999999999999</v>
      </c>
      <c r="Y42" s="33">
        <v>1.5457941700786E-2</v>
      </c>
      <c r="Z42" s="33">
        <v>0</v>
      </c>
      <c r="AA42" s="33">
        <v>0</v>
      </c>
      <c r="AB42" s="33">
        <v>0</v>
      </c>
      <c r="AC42" s="33">
        <v>0</v>
      </c>
      <c r="AD42">
        <v>0.23</v>
      </c>
      <c r="AE42">
        <v>0.36899999999999999</v>
      </c>
      <c r="AF42">
        <v>0.14799999999999999</v>
      </c>
      <c r="AG42">
        <v>0.44</v>
      </c>
      <c r="AH42">
        <v>0.33300000000000002</v>
      </c>
      <c r="AI42">
        <v>0.39900000000000002</v>
      </c>
      <c r="AJ42">
        <v>0.35199999999999998</v>
      </c>
      <c r="AK42">
        <v>0.35</v>
      </c>
      <c r="AO42" s="32"/>
    </row>
    <row r="43" spans="1:117" ht="15.4" x14ac:dyDescent="0.55000000000000004">
      <c r="A43">
        <v>40</v>
      </c>
      <c r="B43" s="49">
        <v>8</v>
      </c>
      <c r="C43" s="12">
        <v>-5.6037100000000004</v>
      </c>
      <c r="D43" s="12">
        <v>1.151</v>
      </c>
      <c r="E43" s="12">
        <v>2.5608300000000002</v>
      </c>
      <c r="F43" s="12">
        <v>0.27700000000000002</v>
      </c>
      <c r="G43" s="118">
        <v>0</v>
      </c>
      <c r="H43" s="12">
        <v>0</v>
      </c>
      <c r="I43" s="12">
        <v>0.13718</v>
      </c>
      <c r="J43" s="12">
        <v>0.1074</v>
      </c>
      <c r="K43" s="12">
        <v>1.5E-3</v>
      </c>
      <c r="L43" s="12">
        <v>-1.7882100000000001</v>
      </c>
      <c r="M43" s="12">
        <v>2.2603</v>
      </c>
      <c r="N43" s="12">
        <v>0</v>
      </c>
      <c r="O43" s="12">
        <v>-2.9999999999999997E-4</v>
      </c>
      <c r="P43" s="12">
        <v>-27.52571</v>
      </c>
      <c r="Q43" s="12">
        <v>1.0919881220281975</v>
      </c>
      <c r="R43" s="12">
        <v>0.11387</v>
      </c>
      <c r="S43" s="12">
        <v>0.28345999999999999</v>
      </c>
      <c r="T43" s="12">
        <v>0.66647000000000001</v>
      </c>
      <c r="U43">
        <v>0.48799999999999999</v>
      </c>
      <c r="V43">
        <v>0.33900000000000002</v>
      </c>
      <c r="W43">
        <v>0.59499999999999997</v>
      </c>
      <c r="X43">
        <v>0.245</v>
      </c>
      <c r="Y43" s="33">
        <v>1.2394996605071901E-2</v>
      </c>
      <c r="Z43" s="33">
        <v>0</v>
      </c>
      <c r="AA43" s="33">
        <v>0</v>
      </c>
      <c r="AB43" s="33">
        <v>0</v>
      </c>
      <c r="AC43" s="33">
        <v>0</v>
      </c>
      <c r="AD43">
        <v>0.24099999999999999</v>
      </c>
      <c r="AE43">
        <v>0.36799999999999999</v>
      </c>
      <c r="AF43">
        <v>0.11799999999999999</v>
      </c>
      <c r="AG43">
        <v>0.435</v>
      </c>
      <c r="AH43">
        <v>0.34699999999999998</v>
      </c>
      <c r="AI43">
        <v>0.36399999999999999</v>
      </c>
      <c r="AJ43">
        <v>0.25</v>
      </c>
      <c r="AK43">
        <v>0.443</v>
      </c>
      <c r="AO43" s="32"/>
    </row>
    <row r="44" spans="1:117" ht="15.4" x14ac:dyDescent="0.55000000000000004">
      <c r="A44">
        <v>41</v>
      </c>
      <c r="B44" s="49">
        <v>10</v>
      </c>
      <c r="C44" s="12">
        <v>-5.6037100000000004</v>
      </c>
      <c r="D44" s="12">
        <v>1.151</v>
      </c>
      <c r="E44" s="12">
        <v>2.5730400000000002</v>
      </c>
      <c r="F44" s="12">
        <v>0.37974000000000002</v>
      </c>
      <c r="G44" s="118">
        <v>0</v>
      </c>
      <c r="H44" s="12">
        <v>0</v>
      </c>
      <c r="I44" s="12">
        <v>0.16574</v>
      </c>
      <c r="J44" s="12">
        <v>0.11114</v>
      </c>
      <c r="K44" s="12">
        <v>1.2999999999999999E-4</v>
      </c>
      <c r="L44" s="12">
        <v>-1.7347600000000001</v>
      </c>
      <c r="M44" s="12">
        <v>2.2060499999999998</v>
      </c>
      <c r="N44" s="12">
        <v>0</v>
      </c>
      <c r="O44" s="12">
        <v>-2.9E-4</v>
      </c>
      <c r="P44" s="12">
        <v>-28.01679</v>
      </c>
      <c r="Q44" s="12">
        <v>1.1084914090760072</v>
      </c>
      <c r="R44" s="12">
        <v>0.13417000000000001</v>
      </c>
      <c r="S44" s="12">
        <v>0.30208000000000002</v>
      </c>
      <c r="T44" s="12">
        <v>0.66971000000000003</v>
      </c>
      <c r="U44">
        <v>0.48199999999999998</v>
      </c>
      <c r="V44">
        <v>0.30499999999999999</v>
      </c>
      <c r="W44">
        <v>0.57099999999999995</v>
      </c>
      <c r="X44">
        <v>0.248</v>
      </c>
      <c r="Y44" s="33">
        <v>9.1500000000000001E-3</v>
      </c>
      <c r="Z44" s="33">
        <v>0</v>
      </c>
      <c r="AA44" s="33">
        <v>0</v>
      </c>
      <c r="AB44" s="33">
        <v>0</v>
      </c>
      <c r="AC44" s="33">
        <v>0</v>
      </c>
      <c r="AD44">
        <v>0.14399999999999999</v>
      </c>
      <c r="AE44">
        <v>0.40300000000000002</v>
      </c>
      <c r="AF44">
        <v>0.11</v>
      </c>
      <c r="AG44">
        <v>0.442</v>
      </c>
      <c r="AH44">
        <v>0.374</v>
      </c>
      <c r="AI44">
        <v>0.33800000000000002</v>
      </c>
      <c r="AJ44">
        <v>0.27400000000000002</v>
      </c>
      <c r="AK44">
        <v>0.40899999999999997</v>
      </c>
      <c r="AO44" s="32"/>
    </row>
    <row r="45" spans="1:117" x14ac:dyDescent="0.4">
      <c r="A45">
        <v>42</v>
      </c>
      <c r="B45" s="49">
        <v>-1</v>
      </c>
      <c r="C45" s="12">
        <v>-5.3572499999999996</v>
      </c>
      <c r="D45" s="12">
        <v>1.151</v>
      </c>
      <c r="E45" s="12">
        <v>2.2023999999999999</v>
      </c>
      <c r="F45" s="12">
        <v>0.22913</v>
      </c>
      <c r="G45" s="12">
        <v>0.2</v>
      </c>
      <c r="H45" s="12">
        <v>0</v>
      </c>
      <c r="I45" s="12">
        <v>0.16644999999999999</v>
      </c>
      <c r="J45" s="12">
        <v>0.10811999999999999</v>
      </c>
      <c r="K45" s="12">
        <v>3.0339999999999999E-2</v>
      </c>
      <c r="L45" s="12">
        <v>-2.17666</v>
      </c>
      <c r="M45" s="12">
        <v>2.9271799999999999</v>
      </c>
      <c r="N45" s="12">
        <v>-0.48270999999999997</v>
      </c>
      <c r="O45" s="12">
        <v>-2.6900000000000001E-3</v>
      </c>
      <c r="P45" s="12">
        <v>-17.707190000000001</v>
      </c>
      <c r="Q45" s="12">
        <v>1.1912462166123581</v>
      </c>
      <c r="R45" s="12">
        <v>0.27426</v>
      </c>
      <c r="S45" s="12">
        <v>0.55445</v>
      </c>
      <c r="T45" s="12">
        <v>0.98521000000000003</v>
      </c>
      <c r="U45">
        <v>0.60199999999999998</v>
      </c>
      <c r="V45">
        <v>0.30099999999999999</v>
      </c>
      <c r="W45">
        <v>0.67300000000000004</v>
      </c>
      <c r="X45">
        <v>0.29199999999999998</v>
      </c>
      <c r="Y45" s="33">
        <v>6</v>
      </c>
      <c r="Z45" s="33">
        <v>0</v>
      </c>
      <c r="AA45" s="33">
        <v>-2.0400000000000001E-2</v>
      </c>
      <c r="AB45" s="33">
        <v>-0.1159</v>
      </c>
      <c r="AC45" s="33">
        <v>-0.31950000000000001</v>
      </c>
      <c r="AD45">
        <v>0.29099999999999998</v>
      </c>
      <c r="AE45">
        <v>0.501</v>
      </c>
      <c r="AF45">
        <v>0.26700000000000002</v>
      </c>
      <c r="AG45">
        <v>0.52</v>
      </c>
      <c r="AH45">
        <v>0.32</v>
      </c>
      <c r="AI45">
        <v>0.49199999999999999</v>
      </c>
      <c r="AJ45">
        <v>0.36</v>
      </c>
      <c r="AK45">
        <v>0.52300000000000002</v>
      </c>
      <c r="AO45" s="32"/>
    </row>
    <row r="46" spans="1:117" x14ac:dyDescent="0.4">
      <c r="P46" s="32"/>
      <c r="T46" s="32"/>
    </row>
    <row r="47" spans="1:117" x14ac:dyDescent="0.4">
      <c r="P47" s="32"/>
      <c r="T47" s="32"/>
    </row>
    <row r="48" spans="1:117" x14ac:dyDescent="0.4">
      <c r="P48" s="32"/>
      <c r="T48" s="32"/>
    </row>
    <row r="49" spans="1:109" x14ac:dyDescent="0.4">
      <c r="P49" s="32"/>
      <c r="T49" s="32"/>
    </row>
    <row r="50" spans="1:109" x14ac:dyDescent="0.4">
      <c r="P50" s="32"/>
      <c r="T50" s="32"/>
    </row>
    <row r="51" spans="1:109" x14ac:dyDescent="0.4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32"/>
      <c r="Q51" s="14"/>
      <c r="R51" s="14"/>
      <c r="S51" s="14"/>
      <c r="T51" s="32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</row>
    <row r="52" spans="1:109" x14ac:dyDescent="0.4">
      <c r="P52" s="32"/>
      <c r="T52" s="32"/>
    </row>
    <row r="53" spans="1:109" x14ac:dyDescent="0.4">
      <c r="O53" s="16"/>
      <c r="P53" s="32"/>
      <c r="Q53" s="4"/>
      <c r="R53" s="4"/>
      <c r="S53" s="4"/>
      <c r="T53" s="32"/>
      <c r="U53" s="4"/>
      <c r="V53" s="11"/>
      <c r="W53" s="11"/>
      <c r="X53" s="11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1"/>
      <c r="AJ53" s="1"/>
      <c r="AK53" s="1"/>
      <c r="AL53" s="1"/>
      <c r="AM53" s="1"/>
      <c r="AN53" s="1"/>
      <c r="AO53" s="1"/>
      <c r="AP53" s="48"/>
      <c r="AQ53" s="4"/>
      <c r="AR53" s="4"/>
      <c r="AS53" s="1"/>
      <c r="AZ53" s="1"/>
      <c r="BA53" s="1"/>
      <c r="BF53" s="15"/>
      <c r="BG53" s="15"/>
      <c r="BH53" s="15"/>
      <c r="BI53" s="15"/>
      <c r="BJ53" s="15"/>
      <c r="BK53" s="14"/>
      <c r="BL53" s="15"/>
      <c r="BM53" s="14"/>
      <c r="BN53" s="14"/>
      <c r="BS53" s="15"/>
      <c r="BT53" s="15"/>
      <c r="BU53" s="15"/>
      <c r="BV53" s="15"/>
      <c r="BW53" s="15"/>
      <c r="BX53" s="14"/>
      <c r="BY53" s="15"/>
      <c r="BZ53" s="14"/>
      <c r="CA53" s="14"/>
      <c r="CF53" s="15"/>
      <c r="CG53" s="15"/>
      <c r="CH53" s="15"/>
      <c r="CI53" s="15"/>
      <c r="CJ53" s="15"/>
      <c r="CK53" s="14"/>
      <c r="CL53" s="15"/>
      <c r="CM53" s="14"/>
      <c r="CN53" s="14"/>
      <c r="CS53" s="15"/>
      <c r="CT53" s="15"/>
      <c r="CU53" s="15"/>
      <c r="CV53" s="15"/>
      <c r="CW53" s="15"/>
      <c r="CX53" s="14"/>
      <c r="CY53" s="15"/>
      <c r="CZ53" s="14"/>
      <c r="DA53" s="14"/>
      <c r="DC53" s="14"/>
      <c r="DE53" s="16"/>
    </row>
    <row r="54" spans="1:109" x14ac:dyDescent="0.4">
      <c r="O54" s="12"/>
      <c r="P54" s="32"/>
      <c r="T54" s="32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3"/>
      <c r="AQ54" s="3"/>
      <c r="AR54" s="33"/>
      <c r="AS54" s="3"/>
      <c r="AW54" s="41"/>
      <c r="AX54" s="41"/>
      <c r="AY54" s="3"/>
      <c r="BF54" s="42"/>
      <c r="BG54" s="42"/>
      <c r="BH54" s="42"/>
      <c r="BI54" s="42"/>
      <c r="BJ54" s="42"/>
      <c r="BK54" s="42"/>
      <c r="BL54" s="42"/>
      <c r="BM54" s="42"/>
      <c r="BN54" s="42"/>
      <c r="BO54" s="3"/>
      <c r="BP54" s="3"/>
      <c r="BQ54" s="3"/>
      <c r="BR54" s="3"/>
      <c r="BS54" s="42"/>
      <c r="BT54" s="42"/>
      <c r="BU54" s="42"/>
      <c r="BV54" s="42"/>
      <c r="BW54" s="42"/>
      <c r="BX54" s="42"/>
      <c r="BY54" s="42"/>
      <c r="BZ54" s="42"/>
      <c r="CA54" s="42"/>
      <c r="CB54" s="2"/>
      <c r="CC54" s="3"/>
      <c r="CD54" s="3"/>
      <c r="CE54" s="3"/>
      <c r="CF54" s="42"/>
      <c r="CG54" s="42"/>
      <c r="CH54" s="42"/>
      <c r="CI54" s="42"/>
      <c r="CJ54" s="42"/>
      <c r="CK54" s="42"/>
      <c r="CL54" s="42"/>
      <c r="CM54" s="42"/>
      <c r="CN54" s="42"/>
      <c r="CO54" s="3"/>
      <c r="CP54" s="3"/>
      <c r="CQ54" s="3"/>
      <c r="CR54" s="43"/>
      <c r="CS54" s="42"/>
      <c r="CT54" s="42"/>
      <c r="CU54" s="42"/>
      <c r="CV54" s="42"/>
      <c r="CW54" s="42"/>
      <c r="CX54" s="42"/>
      <c r="CY54" s="42"/>
      <c r="CZ54" s="42"/>
      <c r="DA54" s="42"/>
      <c r="DC54" s="13"/>
      <c r="DE54" s="13"/>
    </row>
    <row r="55" spans="1:109" x14ac:dyDescent="0.4">
      <c r="O55" s="12"/>
      <c r="P55" s="32"/>
      <c r="T55" s="32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3"/>
      <c r="AQ55" s="3"/>
      <c r="AR55" s="33"/>
      <c r="AS55" s="3"/>
      <c r="AW55" s="41"/>
      <c r="AX55" s="41"/>
      <c r="AY55" s="3"/>
      <c r="BF55" s="42"/>
      <c r="BG55" s="42"/>
      <c r="BH55" s="42"/>
      <c r="BI55" s="42"/>
      <c r="BJ55" s="42"/>
      <c r="BK55" s="42"/>
      <c r="BL55" s="42"/>
      <c r="BM55" s="42"/>
      <c r="BN55" s="42"/>
      <c r="BO55" s="3"/>
      <c r="BP55" s="3"/>
      <c r="BQ55" s="3"/>
      <c r="BR55" s="3"/>
      <c r="BS55" s="42"/>
      <c r="BT55" s="42"/>
      <c r="BU55" s="42"/>
      <c r="BV55" s="42"/>
      <c r="BW55" s="42"/>
      <c r="BX55" s="42"/>
      <c r="BY55" s="42"/>
      <c r="BZ55" s="42"/>
      <c r="CA55" s="42"/>
      <c r="CB55" s="2"/>
      <c r="CC55" s="3"/>
      <c r="CD55" s="3"/>
      <c r="CE55" s="3"/>
      <c r="CF55" s="42"/>
      <c r="CG55" s="42"/>
      <c r="CH55" s="42"/>
      <c r="CI55" s="42"/>
      <c r="CJ55" s="42"/>
      <c r="CK55" s="42"/>
      <c r="CL55" s="42"/>
      <c r="CM55" s="42"/>
      <c r="CN55" s="42"/>
      <c r="CO55" s="3"/>
      <c r="CP55" s="3"/>
      <c r="CQ55" s="3"/>
      <c r="CR55" s="43"/>
      <c r="CS55" s="42"/>
      <c r="CT55" s="42"/>
      <c r="CU55" s="42"/>
      <c r="CV55" s="42"/>
      <c r="CW55" s="42"/>
      <c r="CX55" s="42"/>
      <c r="CY55" s="42"/>
      <c r="CZ55" s="42"/>
      <c r="DA55" s="42"/>
      <c r="DC55" s="13"/>
      <c r="DE55" s="13"/>
    </row>
    <row r="56" spans="1:109" x14ac:dyDescent="0.4">
      <c r="O56" s="12"/>
      <c r="P56" s="32"/>
      <c r="T56" s="32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3"/>
      <c r="AQ56" s="3"/>
      <c r="AR56" s="33"/>
      <c r="AS56" s="3"/>
      <c r="AW56" s="41"/>
      <c r="AX56" s="41"/>
      <c r="AY56" s="3"/>
      <c r="BF56" s="42"/>
      <c r="BG56" s="42"/>
      <c r="BH56" s="42"/>
      <c r="BI56" s="42"/>
      <c r="BJ56" s="42"/>
      <c r="BK56" s="42"/>
      <c r="BL56" s="42"/>
      <c r="BM56" s="42"/>
      <c r="BN56" s="42"/>
      <c r="BO56" s="3"/>
      <c r="BP56" s="3"/>
      <c r="BQ56" s="3"/>
      <c r="BR56" s="3"/>
      <c r="BS56" s="42"/>
      <c r="BT56" s="42"/>
      <c r="BU56" s="42"/>
      <c r="BV56" s="42"/>
      <c r="BW56" s="42"/>
      <c r="BX56" s="42"/>
      <c r="BY56" s="42"/>
      <c r="BZ56" s="42"/>
      <c r="CA56" s="42"/>
      <c r="CB56" s="2"/>
      <c r="CC56" s="3"/>
      <c r="CD56" s="3"/>
      <c r="CE56" s="3"/>
      <c r="CF56" s="42"/>
      <c r="CG56" s="42"/>
      <c r="CH56" s="42"/>
      <c r="CI56" s="42"/>
      <c r="CJ56" s="42"/>
      <c r="CK56" s="42"/>
      <c r="CL56" s="42"/>
      <c r="CM56" s="42"/>
      <c r="CN56" s="42"/>
      <c r="CO56" s="3"/>
      <c r="CP56" s="3"/>
      <c r="CQ56" s="3"/>
      <c r="CR56" s="43"/>
      <c r="CS56" s="42"/>
      <c r="CT56" s="42"/>
      <c r="CU56" s="42"/>
      <c r="CV56" s="42"/>
      <c r="CW56" s="42"/>
      <c r="CX56" s="42"/>
      <c r="CY56" s="42"/>
      <c r="CZ56" s="42"/>
      <c r="DA56" s="42"/>
      <c r="DC56" s="13"/>
      <c r="DE56" s="13"/>
    </row>
    <row r="57" spans="1:109" x14ac:dyDescent="0.4">
      <c r="O57" s="12"/>
      <c r="P57" s="32"/>
      <c r="T57" s="32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3"/>
      <c r="AQ57" s="3"/>
      <c r="AR57" s="33"/>
      <c r="AS57" s="3"/>
      <c r="AW57" s="41"/>
      <c r="AX57" s="41"/>
      <c r="AY57" s="3"/>
      <c r="BF57" s="42"/>
      <c r="BG57" s="42"/>
      <c r="BH57" s="42"/>
      <c r="BI57" s="42"/>
      <c r="BJ57" s="42"/>
      <c r="BK57" s="42"/>
      <c r="BL57" s="42"/>
      <c r="BM57" s="42"/>
      <c r="BN57" s="42"/>
      <c r="BO57" s="3"/>
      <c r="BP57" s="3"/>
      <c r="BQ57" s="3"/>
      <c r="BR57" s="3"/>
      <c r="BS57" s="42"/>
      <c r="BT57" s="42"/>
      <c r="BU57" s="42"/>
      <c r="BV57" s="42"/>
      <c r="BW57" s="42"/>
      <c r="BX57" s="42"/>
      <c r="BY57" s="42"/>
      <c r="BZ57" s="42"/>
      <c r="CA57" s="42"/>
      <c r="CB57" s="2"/>
      <c r="CC57" s="3"/>
      <c r="CD57" s="3"/>
      <c r="CE57" s="3"/>
      <c r="CF57" s="42"/>
      <c r="CG57" s="42"/>
      <c r="CH57" s="42"/>
      <c r="CI57" s="42"/>
      <c r="CJ57" s="42"/>
      <c r="CK57" s="42"/>
      <c r="CL57" s="42"/>
      <c r="CM57" s="42"/>
      <c r="CN57" s="42"/>
      <c r="CO57" s="3"/>
      <c r="CP57" s="3"/>
      <c r="CQ57" s="3"/>
      <c r="CR57" s="43"/>
      <c r="CS57" s="42"/>
      <c r="CT57" s="42"/>
      <c r="CU57" s="42"/>
      <c r="CV57" s="42"/>
      <c r="CW57" s="42"/>
      <c r="CX57" s="42"/>
      <c r="CY57" s="42"/>
      <c r="CZ57" s="42"/>
      <c r="DA57" s="42"/>
      <c r="DC57" s="13"/>
      <c r="DE57" s="13"/>
    </row>
    <row r="58" spans="1:109" x14ac:dyDescent="0.4">
      <c r="O58" s="12"/>
      <c r="P58" s="32"/>
      <c r="T58" s="32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3"/>
      <c r="AQ58" s="3"/>
      <c r="AR58" s="33"/>
      <c r="AS58" s="3"/>
      <c r="AW58" s="41"/>
      <c r="AX58" s="41"/>
      <c r="AY58" s="3"/>
      <c r="BF58" s="42"/>
      <c r="BG58" s="42"/>
      <c r="BH58" s="42"/>
      <c r="BI58" s="42"/>
      <c r="BJ58" s="42"/>
      <c r="BK58" s="42"/>
      <c r="BL58" s="42"/>
      <c r="BM58" s="42"/>
      <c r="BN58" s="42"/>
      <c r="BO58" s="3"/>
      <c r="BP58" s="3"/>
      <c r="BQ58" s="3"/>
      <c r="BR58" s="3"/>
      <c r="BS58" s="42"/>
      <c r="BT58" s="42"/>
      <c r="BU58" s="42"/>
      <c r="BV58" s="42"/>
      <c r="BW58" s="42"/>
      <c r="BX58" s="42"/>
      <c r="BY58" s="42"/>
      <c r="BZ58" s="42"/>
      <c r="CA58" s="42"/>
      <c r="CB58" s="2"/>
      <c r="CC58" s="3"/>
      <c r="CD58" s="3"/>
      <c r="CE58" s="3"/>
      <c r="CF58" s="42"/>
      <c r="CG58" s="42"/>
      <c r="CH58" s="42"/>
      <c r="CI58" s="42"/>
      <c r="CJ58" s="42"/>
      <c r="CK58" s="42"/>
      <c r="CL58" s="42"/>
      <c r="CM58" s="42"/>
      <c r="CN58" s="42"/>
      <c r="CO58" s="3"/>
      <c r="CP58" s="3"/>
      <c r="CQ58" s="3"/>
      <c r="CR58" s="43"/>
      <c r="CS58" s="42"/>
      <c r="CT58" s="42"/>
      <c r="CU58" s="42"/>
      <c r="CV58" s="42"/>
      <c r="CW58" s="42"/>
      <c r="CX58" s="42"/>
      <c r="CY58" s="42"/>
      <c r="CZ58" s="42"/>
      <c r="DA58" s="42"/>
      <c r="DC58" s="13"/>
      <c r="DE58" s="13"/>
    </row>
    <row r="59" spans="1:109" x14ac:dyDescent="0.4">
      <c r="O59" s="12"/>
      <c r="P59" s="32"/>
      <c r="T59" s="32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3"/>
      <c r="AQ59" s="3"/>
      <c r="AR59" s="33"/>
      <c r="AS59" s="3"/>
      <c r="AW59" s="41"/>
      <c r="AX59" s="41"/>
      <c r="AY59" s="3"/>
      <c r="BF59" s="42"/>
      <c r="BG59" s="42"/>
      <c r="BH59" s="42"/>
      <c r="BI59" s="42"/>
      <c r="BJ59" s="42"/>
      <c r="BK59" s="42"/>
      <c r="BL59" s="42"/>
      <c r="BM59" s="42"/>
      <c r="BN59" s="42"/>
      <c r="BO59" s="3"/>
      <c r="BP59" s="3"/>
      <c r="BQ59" s="3"/>
      <c r="BR59" s="3"/>
      <c r="BS59" s="42"/>
      <c r="BT59" s="42"/>
      <c r="BU59" s="42"/>
      <c r="BV59" s="42"/>
      <c r="BW59" s="42"/>
      <c r="BX59" s="42"/>
      <c r="BY59" s="42"/>
      <c r="BZ59" s="42"/>
      <c r="CA59" s="42"/>
      <c r="CB59" s="2"/>
      <c r="CC59" s="3"/>
      <c r="CD59" s="3"/>
      <c r="CE59" s="3"/>
      <c r="CF59" s="42"/>
      <c r="CG59" s="42"/>
      <c r="CH59" s="42"/>
      <c r="CI59" s="42"/>
      <c r="CJ59" s="42"/>
      <c r="CK59" s="42"/>
      <c r="CL59" s="42"/>
      <c r="CM59" s="42"/>
      <c r="CN59" s="42"/>
      <c r="CO59" s="3"/>
      <c r="CP59" s="3"/>
      <c r="CQ59" s="3"/>
      <c r="CR59" s="43"/>
      <c r="CS59" s="42"/>
      <c r="CT59" s="42"/>
      <c r="CU59" s="42"/>
      <c r="CV59" s="42"/>
      <c r="CW59" s="42"/>
      <c r="CX59" s="42"/>
      <c r="CY59" s="42"/>
      <c r="CZ59" s="42"/>
      <c r="DA59" s="42"/>
      <c r="DC59" s="13"/>
      <c r="DE59" s="13"/>
    </row>
    <row r="60" spans="1:109" x14ac:dyDescent="0.4">
      <c r="O60" s="12"/>
      <c r="P60" s="32"/>
      <c r="T60" s="32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3"/>
      <c r="AQ60" s="3"/>
      <c r="AR60" s="33"/>
      <c r="AS60" s="3"/>
      <c r="AW60" s="41"/>
      <c r="AX60" s="41"/>
      <c r="AY60" s="3"/>
      <c r="BF60" s="42"/>
      <c r="BG60" s="42"/>
      <c r="BH60" s="42"/>
      <c r="BI60" s="42"/>
      <c r="BJ60" s="42"/>
      <c r="BK60" s="42"/>
      <c r="BL60" s="42"/>
      <c r="BM60" s="42"/>
      <c r="BN60" s="42"/>
      <c r="BO60" s="3"/>
      <c r="BP60" s="3"/>
      <c r="BQ60" s="3"/>
      <c r="BR60" s="3"/>
      <c r="BS60" s="42"/>
      <c r="BT60" s="42"/>
      <c r="BU60" s="42"/>
      <c r="BV60" s="42"/>
      <c r="BW60" s="42"/>
      <c r="BX60" s="42"/>
      <c r="BY60" s="42"/>
      <c r="BZ60" s="42"/>
      <c r="CA60" s="42"/>
      <c r="CB60" s="2"/>
      <c r="CC60" s="3"/>
      <c r="CD60" s="3"/>
      <c r="CE60" s="3"/>
      <c r="CF60" s="42"/>
      <c r="CG60" s="42"/>
      <c r="CH60" s="42"/>
      <c r="CI60" s="42"/>
      <c r="CJ60" s="42"/>
      <c r="CK60" s="42"/>
      <c r="CL60" s="42"/>
      <c r="CM60" s="42"/>
      <c r="CN60" s="42"/>
      <c r="CO60" s="3"/>
      <c r="CP60" s="3"/>
      <c r="CQ60" s="3"/>
      <c r="CR60" s="43"/>
      <c r="CS60" s="42"/>
      <c r="CT60" s="42"/>
      <c r="CU60" s="42"/>
      <c r="CV60" s="42"/>
      <c r="CW60" s="42"/>
      <c r="CX60" s="42"/>
      <c r="CY60" s="42"/>
      <c r="CZ60" s="42"/>
      <c r="DA60" s="42"/>
      <c r="DC60" s="13"/>
      <c r="DE60" s="13"/>
    </row>
    <row r="61" spans="1:109" x14ac:dyDescent="0.4">
      <c r="O61" s="12"/>
      <c r="P61" s="32"/>
      <c r="T61" s="32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3"/>
      <c r="AQ61" s="3"/>
      <c r="AR61" s="33"/>
      <c r="AS61" s="3"/>
      <c r="AW61" s="41"/>
      <c r="AX61" s="41"/>
      <c r="AY61" s="3"/>
      <c r="BF61" s="42"/>
      <c r="BG61" s="42"/>
      <c r="BH61" s="42"/>
      <c r="BI61" s="42"/>
      <c r="BJ61" s="42"/>
      <c r="BK61" s="42"/>
      <c r="BL61" s="42"/>
      <c r="BM61" s="42"/>
      <c r="BN61" s="42"/>
      <c r="BO61" s="3"/>
      <c r="BP61" s="3"/>
      <c r="BQ61" s="3"/>
      <c r="BR61" s="3"/>
      <c r="BS61" s="42"/>
      <c r="BT61" s="42"/>
      <c r="BU61" s="42"/>
      <c r="BV61" s="42"/>
      <c r="BW61" s="42"/>
      <c r="BX61" s="42"/>
      <c r="BY61" s="42"/>
      <c r="BZ61" s="42"/>
      <c r="CA61" s="42"/>
      <c r="CB61" s="2"/>
      <c r="CC61" s="3"/>
      <c r="CD61" s="3"/>
      <c r="CE61" s="3"/>
      <c r="CF61" s="42"/>
      <c r="CG61" s="42"/>
      <c r="CH61" s="42"/>
      <c r="CI61" s="42"/>
      <c r="CJ61" s="42"/>
      <c r="CK61" s="42"/>
      <c r="CL61" s="42"/>
      <c r="CM61" s="42"/>
      <c r="CN61" s="42"/>
      <c r="CO61" s="3"/>
      <c r="CP61" s="3"/>
      <c r="CQ61" s="3"/>
      <c r="CR61" s="43"/>
      <c r="CS61" s="42"/>
      <c r="CT61" s="42"/>
      <c r="CU61" s="42"/>
      <c r="CV61" s="42"/>
      <c r="CW61" s="42"/>
      <c r="CX61" s="42"/>
      <c r="CY61" s="42"/>
      <c r="CZ61" s="42"/>
      <c r="DA61" s="42"/>
      <c r="DC61" s="13"/>
      <c r="DE61" s="13"/>
    </row>
    <row r="62" spans="1:109" x14ac:dyDescent="0.4">
      <c r="O62" s="12"/>
      <c r="P62" s="32"/>
      <c r="T62" s="32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3"/>
      <c r="AQ62" s="3"/>
      <c r="AR62" s="33"/>
      <c r="AS62" s="3"/>
      <c r="AW62" s="41"/>
      <c r="AX62" s="41"/>
      <c r="AY62" s="3"/>
      <c r="BF62" s="42"/>
      <c r="BG62" s="42"/>
      <c r="BH62" s="42"/>
      <c r="BI62" s="42"/>
      <c r="BJ62" s="42"/>
      <c r="BK62" s="42"/>
      <c r="BL62" s="42"/>
      <c r="BM62" s="42"/>
      <c r="BN62" s="42"/>
      <c r="BO62" s="3"/>
      <c r="BP62" s="3"/>
      <c r="BQ62" s="3"/>
      <c r="BR62" s="3"/>
      <c r="BS62" s="42"/>
      <c r="BT62" s="42"/>
      <c r="BU62" s="42"/>
      <c r="BV62" s="42"/>
      <c r="BW62" s="42"/>
      <c r="BX62" s="42"/>
      <c r="BY62" s="42"/>
      <c r="BZ62" s="42"/>
      <c r="CA62" s="42"/>
      <c r="CB62" s="2"/>
      <c r="CC62" s="3"/>
      <c r="CD62" s="3"/>
      <c r="CE62" s="3"/>
      <c r="CF62" s="42"/>
      <c r="CG62" s="42"/>
      <c r="CH62" s="42"/>
      <c r="CI62" s="42"/>
      <c r="CJ62" s="42"/>
      <c r="CK62" s="42"/>
      <c r="CL62" s="42"/>
      <c r="CM62" s="42"/>
      <c r="CN62" s="42"/>
      <c r="CO62" s="3"/>
      <c r="CP62" s="3"/>
      <c r="CQ62" s="3"/>
      <c r="CR62" s="43"/>
      <c r="CS62" s="42"/>
      <c r="CT62" s="42"/>
      <c r="CU62" s="42"/>
      <c r="CV62" s="42"/>
      <c r="CW62" s="42"/>
      <c r="CX62" s="42"/>
      <c r="CY62" s="42"/>
      <c r="CZ62" s="42"/>
      <c r="DA62" s="42"/>
      <c r="DC62" s="13"/>
      <c r="DE62" s="13"/>
    </row>
    <row r="63" spans="1:109" x14ac:dyDescent="0.4">
      <c r="O63" s="12"/>
      <c r="P63" s="32"/>
      <c r="T63" s="32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3"/>
      <c r="AQ63" s="3"/>
      <c r="AR63" s="33"/>
      <c r="AS63" s="3"/>
      <c r="AW63" s="41"/>
      <c r="AX63" s="41"/>
      <c r="AY63" s="3"/>
      <c r="BF63" s="42"/>
      <c r="BG63" s="42"/>
      <c r="BH63" s="42"/>
      <c r="BI63" s="42"/>
      <c r="BJ63" s="42"/>
      <c r="BK63" s="42"/>
      <c r="BL63" s="42"/>
      <c r="BM63" s="42"/>
      <c r="BN63" s="42"/>
      <c r="BO63" s="3"/>
      <c r="BP63" s="3"/>
      <c r="BQ63" s="3"/>
      <c r="BR63" s="3"/>
      <c r="BS63" s="42"/>
      <c r="BT63" s="42"/>
      <c r="BU63" s="42"/>
      <c r="BV63" s="42"/>
      <c r="BW63" s="42"/>
      <c r="BX63" s="42"/>
      <c r="BY63" s="42"/>
      <c r="BZ63" s="42"/>
      <c r="CA63" s="42"/>
      <c r="CB63" s="2"/>
      <c r="CC63" s="3"/>
      <c r="CD63" s="3"/>
      <c r="CE63" s="3"/>
      <c r="CF63" s="42"/>
      <c r="CG63" s="42"/>
      <c r="CH63" s="42"/>
      <c r="CI63" s="42"/>
      <c r="CJ63" s="42"/>
      <c r="CK63" s="42"/>
      <c r="CL63" s="42"/>
      <c r="CM63" s="42"/>
      <c r="CN63" s="42"/>
      <c r="CO63" s="3"/>
      <c r="CP63" s="3"/>
      <c r="CQ63" s="3"/>
      <c r="CR63" s="43"/>
      <c r="CS63" s="42"/>
      <c r="CT63" s="42"/>
      <c r="CU63" s="42"/>
      <c r="CV63" s="42"/>
      <c r="CW63" s="42"/>
      <c r="CX63" s="42"/>
      <c r="CY63" s="42"/>
      <c r="CZ63" s="42"/>
      <c r="DA63" s="42"/>
      <c r="DC63" s="13"/>
      <c r="DE63" s="13"/>
    </row>
    <row r="64" spans="1:109" x14ac:dyDescent="0.4">
      <c r="O64" s="12"/>
      <c r="P64" s="32"/>
      <c r="T64" s="32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3"/>
      <c r="AQ64" s="3"/>
      <c r="AR64" s="33"/>
      <c r="AS64" s="3"/>
      <c r="AW64" s="41"/>
      <c r="AX64" s="41"/>
      <c r="AY64" s="3"/>
      <c r="BF64" s="42"/>
      <c r="BG64" s="42"/>
      <c r="BH64" s="42"/>
      <c r="BI64" s="42"/>
      <c r="BJ64" s="42"/>
      <c r="BK64" s="42"/>
      <c r="BL64" s="42"/>
      <c r="BM64" s="42"/>
      <c r="BN64" s="42"/>
      <c r="BO64" s="3"/>
      <c r="BP64" s="3"/>
      <c r="BQ64" s="3"/>
      <c r="BR64" s="3"/>
      <c r="BS64" s="42"/>
      <c r="BT64" s="42"/>
      <c r="BU64" s="42"/>
      <c r="BV64" s="42"/>
      <c r="BW64" s="42"/>
      <c r="BX64" s="42"/>
      <c r="BY64" s="42"/>
      <c r="BZ64" s="42"/>
      <c r="CA64" s="42"/>
      <c r="CB64" s="2"/>
      <c r="CC64" s="3"/>
      <c r="CD64" s="3"/>
      <c r="CE64" s="3"/>
      <c r="CF64" s="42"/>
      <c r="CG64" s="42"/>
      <c r="CH64" s="42"/>
      <c r="CI64" s="42"/>
      <c r="CJ64" s="42"/>
      <c r="CK64" s="42"/>
      <c r="CL64" s="42"/>
      <c r="CM64" s="42"/>
      <c r="CN64" s="42"/>
      <c r="CO64" s="3"/>
      <c r="CP64" s="3"/>
      <c r="CQ64" s="3"/>
      <c r="CR64" s="43"/>
      <c r="CS64" s="42"/>
      <c r="CT64" s="42"/>
      <c r="CU64" s="42"/>
      <c r="CV64" s="42"/>
      <c r="CW64" s="42"/>
      <c r="CX64" s="42"/>
      <c r="CY64" s="42"/>
      <c r="CZ64" s="42"/>
      <c r="DA64" s="42"/>
      <c r="DC64" s="13"/>
      <c r="DE64" s="13"/>
    </row>
    <row r="65" spans="15:109" x14ac:dyDescent="0.4">
      <c r="O65" s="12"/>
      <c r="P65" s="32"/>
      <c r="T65" s="32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3"/>
      <c r="AQ65" s="3"/>
      <c r="AR65" s="33"/>
      <c r="AS65" s="3"/>
      <c r="AW65" s="41"/>
      <c r="AX65" s="41"/>
      <c r="AY65" s="3"/>
      <c r="BF65" s="42"/>
      <c r="BG65" s="42"/>
      <c r="BH65" s="42"/>
      <c r="BI65" s="42"/>
      <c r="BJ65" s="42"/>
      <c r="BK65" s="42"/>
      <c r="BL65" s="42"/>
      <c r="BM65" s="42"/>
      <c r="BN65" s="42"/>
      <c r="BO65" s="3"/>
      <c r="BP65" s="3"/>
      <c r="BQ65" s="3"/>
      <c r="BR65" s="3"/>
      <c r="BS65" s="42"/>
      <c r="BT65" s="42"/>
      <c r="BU65" s="42"/>
      <c r="BV65" s="42"/>
      <c r="BW65" s="42"/>
      <c r="BX65" s="42"/>
      <c r="BY65" s="42"/>
      <c r="BZ65" s="42"/>
      <c r="CA65" s="42"/>
      <c r="CB65" s="2"/>
      <c r="CC65" s="3"/>
      <c r="CD65" s="3"/>
      <c r="CE65" s="3"/>
      <c r="CF65" s="42"/>
      <c r="CG65" s="42"/>
      <c r="CH65" s="42"/>
      <c r="CI65" s="42"/>
      <c r="CJ65" s="42"/>
      <c r="CK65" s="42"/>
      <c r="CL65" s="42"/>
      <c r="CM65" s="42"/>
      <c r="CN65" s="42"/>
      <c r="CO65" s="3"/>
      <c r="CP65" s="3"/>
      <c r="CQ65" s="3"/>
      <c r="CR65" s="43"/>
      <c r="CS65" s="42"/>
      <c r="CT65" s="42"/>
      <c r="CU65" s="42"/>
      <c r="CV65" s="42"/>
      <c r="CW65" s="42"/>
      <c r="CX65" s="42"/>
      <c r="CY65" s="42"/>
      <c r="CZ65" s="42"/>
      <c r="DA65" s="42"/>
      <c r="DC65" s="13"/>
      <c r="DE65" s="13"/>
    </row>
    <row r="66" spans="15:109" x14ac:dyDescent="0.4">
      <c r="O66" s="12"/>
      <c r="P66" s="32"/>
      <c r="T66" s="32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3"/>
      <c r="AQ66" s="3"/>
      <c r="AR66" s="33"/>
      <c r="AS66" s="3"/>
      <c r="AW66" s="41"/>
      <c r="AX66" s="41"/>
      <c r="AY66" s="3"/>
      <c r="BF66" s="42"/>
      <c r="BG66" s="42"/>
      <c r="BH66" s="42"/>
      <c r="BI66" s="42"/>
      <c r="BJ66" s="42"/>
      <c r="BK66" s="42"/>
      <c r="BL66" s="42"/>
      <c r="BM66" s="42"/>
      <c r="BN66" s="42"/>
      <c r="BO66" s="3"/>
      <c r="BP66" s="3"/>
      <c r="BQ66" s="3"/>
      <c r="BR66" s="3"/>
      <c r="BS66" s="42"/>
      <c r="BT66" s="42"/>
      <c r="BU66" s="42"/>
      <c r="BV66" s="42"/>
      <c r="BW66" s="42"/>
      <c r="BX66" s="42"/>
      <c r="BY66" s="42"/>
      <c r="BZ66" s="42"/>
      <c r="CA66" s="42"/>
      <c r="CB66" s="2"/>
      <c r="CC66" s="3"/>
      <c r="CD66" s="3"/>
      <c r="CE66" s="3"/>
      <c r="CF66" s="42"/>
      <c r="CG66" s="42"/>
      <c r="CH66" s="42"/>
      <c r="CI66" s="42"/>
      <c r="CJ66" s="42"/>
      <c r="CK66" s="42"/>
      <c r="CL66" s="42"/>
      <c r="CM66" s="42"/>
      <c r="CN66" s="42"/>
      <c r="CO66" s="3"/>
      <c r="CP66" s="3"/>
      <c r="CQ66" s="3"/>
      <c r="CR66" s="43"/>
      <c r="CS66" s="42"/>
      <c r="CT66" s="42"/>
      <c r="CU66" s="42"/>
      <c r="CV66" s="42"/>
      <c r="CW66" s="42"/>
      <c r="CX66" s="42"/>
      <c r="CY66" s="42"/>
      <c r="CZ66" s="42"/>
      <c r="DA66" s="42"/>
      <c r="DC66" s="13"/>
      <c r="DE66" s="13"/>
    </row>
    <row r="67" spans="15:109" x14ac:dyDescent="0.4">
      <c r="O67" s="12"/>
      <c r="P67" s="32"/>
      <c r="T67" s="32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3"/>
      <c r="AQ67" s="3"/>
      <c r="AR67" s="33"/>
      <c r="AS67" s="3"/>
      <c r="AW67" s="41"/>
      <c r="AX67" s="41"/>
      <c r="AY67" s="3"/>
      <c r="BF67" s="42"/>
      <c r="BG67" s="42"/>
      <c r="BH67" s="42"/>
      <c r="BI67" s="42"/>
      <c r="BJ67" s="42"/>
      <c r="BK67" s="42"/>
      <c r="BL67" s="42"/>
      <c r="BM67" s="42"/>
      <c r="BN67" s="42"/>
      <c r="BO67" s="3"/>
      <c r="BP67" s="3"/>
      <c r="BQ67" s="3"/>
      <c r="BR67" s="3"/>
      <c r="BS67" s="42"/>
      <c r="BT67" s="42"/>
      <c r="BU67" s="42"/>
      <c r="BV67" s="42"/>
      <c r="BW67" s="42"/>
      <c r="BX67" s="42"/>
      <c r="BY67" s="42"/>
      <c r="BZ67" s="42"/>
      <c r="CA67" s="42"/>
      <c r="CB67" s="2"/>
      <c r="CC67" s="3"/>
      <c r="CD67" s="3"/>
      <c r="CE67" s="3"/>
      <c r="CF67" s="42"/>
      <c r="CG67" s="42"/>
      <c r="CH67" s="42"/>
      <c r="CI67" s="42"/>
      <c r="CJ67" s="42"/>
      <c r="CK67" s="42"/>
      <c r="CL67" s="42"/>
      <c r="CM67" s="42"/>
      <c r="CN67" s="42"/>
      <c r="CO67" s="3"/>
      <c r="CP67" s="3"/>
      <c r="CQ67" s="3"/>
      <c r="CR67" s="43"/>
      <c r="CS67" s="42"/>
      <c r="CT67" s="42"/>
      <c r="CU67" s="42"/>
      <c r="CV67" s="42"/>
      <c r="CW67" s="42"/>
      <c r="CX67" s="42"/>
      <c r="CY67" s="42"/>
      <c r="CZ67" s="42"/>
      <c r="DA67" s="42"/>
      <c r="DC67" s="13"/>
      <c r="DE67" s="13"/>
    </row>
    <row r="68" spans="15:109" x14ac:dyDescent="0.4">
      <c r="O68" s="12"/>
      <c r="P68" s="32"/>
      <c r="T68" s="32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3"/>
      <c r="AQ68" s="3"/>
      <c r="AR68" s="33"/>
      <c r="AS68" s="3"/>
      <c r="AW68" s="41"/>
      <c r="AX68" s="41"/>
      <c r="AY68" s="3"/>
      <c r="BF68" s="42"/>
      <c r="BG68" s="42"/>
      <c r="BH68" s="42"/>
      <c r="BI68" s="42"/>
      <c r="BJ68" s="42"/>
      <c r="BK68" s="42"/>
      <c r="BL68" s="42"/>
      <c r="BM68" s="42"/>
      <c r="BN68" s="42"/>
      <c r="BO68" s="3"/>
      <c r="BP68" s="3"/>
      <c r="BQ68" s="3"/>
      <c r="BR68" s="3"/>
      <c r="BS68" s="42"/>
      <c r="BT68" s="42"/>
      <c r="BU68" s="42"/>
      <c r="BV68" s="42"/>
      <c r="BW68" s="42"/>
      <c r="BX68" s="42"/>
      <c r="BY68" s="42"/>
      <c r="BZ68" s="42"/>
      <c r="CA68" s="42"/>
      <c r="CB68" s="2"/>
      <c r="CC68" s="3"/>
      <c r="CD68" s="3"/>
      <c r="CE68" s="3"/>
      <c r="CF68" s="42"/>
      <c r="CG68" s="42"/>
      <c r="CH68" s="42"/>
      <c r="CI68" s="42"/>
      <c r="CJ68" s="42"/>
      <c r="CK68" s="42"/>
      <c r="CL68" s="42"/>
      <c r="CM68" s="42"/>
      <c r="CN68" s="42"/>
      <c r="CO68" s="3"/>
      <c r="CP68" s="3"/>
      <c r="CQ68" s="3"/>
      <c r="CR68" s="43"/>
      <c r="CS68" s="42"/>
      <c r="CT68" s="42"/>
      <c r="CU68" s="42"/>
      <c r="CV68" s="42"/>
      <c r="CW68" s="42"/>
      <c r="CX68" s="42"/>
      <c r="CY68" s="42"/>
      <c r="CZ68" s="42"/>
      <c r="DA68" s="42"/>
      <c r="DC68" s="13"/>
      <c r="DE68" s="13"/>
    </row>
    <row r="69" spans="15:109" x14ac:dyDescent="0.4">
      <c r="O69" s="12"/>
      <c r="P69" s="32"/>
      <c r="T69" s="32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3"/>
      <c r="AQ69" s="3"/>
      <c r="AR69" s="33"/>
      <c r="AS69" s="3"/>
      <c r="AW69" s="41"/>
      <c r="AX69" s="41"/>
      <c r="AY69" s="3"/>
      <c r="BF69" s="42"/>
      <c r="BG69" s="42"/>
      <c r="BH69" s="42"/>
      <c r="BI69" s="42"/>
      <c r="BJ69" s="42"/>
      <c r="BK69" s="42"/>
      <c r="BL69" s="42"/>
      <c r="BM69" s="42"/>
      <c r="BN69" s="42"/>
      <c r="BO69" s="3"/>
      <c r="BP69" s="3"/>
      <c r="BQ69" s="3"/>
      <c r="BR69" s="3"/>
      <c r="BS69" s="42"/>
      <c r="BT69" s="42"/>
      <c r="BU69" s="42"/>
      <c r="BV69" s="42"/>
      <c r="BW69" s="42"/>
      <c r="BX69" s="42"/>
      <c r="BY69" s="42"/>
      <c r="BZ69" s="42"/>
      <c r="CA69" s="42"/>
      <c r="CB69" s="2"/>
      <c r="CC69" s="3"/>
      <c r="CD69" s="3"/>
      <c r="CE69" s="3"/>
      <c r="CF69" s="42"/>
      <c r="CG69" s="42"/>
      <c r="CH69" s="42"/>
      <c r="CI69" s="42"/>
      <c r="CJ69" s="42"/>
      <c r="CK69" s="42"/>
      <c r="CL69" s="42"/>
      <c r="CM69" s="42"/>
      <c r="CN69" s="42"/>
      <c r="CO69" s="3"/>
      <c r="CP69" s="3"/>
      <c r="CQ69" s="3"/>
      <c r="CR69" s="43"/>
      <c r="CS69" s="42"/>
      <c r="CT69" s="42"/>
      <c r="CU69" s="42"/>
      <c r="CV69" s="42"/>
      <c r="CW69" s="42"/>
      <c r="CX69" s="42"/>
      <c r="CY69" s="42"/>
      <c r="CZ69" s="42"/>
      <c r="DA69" s="42"/>
      <c r="DC69" s="13"/>
      <c r="DE69" s="13"/>
    </row>
    <row r="70" spans="15:109" x14ac:dyDescent="0.4">
      <c r="O70" s="12"/>
      <c r="P70" s="32"/>
      <c r="T70" s="32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3"/>
      <c r="AQ70" s="3"/>
      <c r="AR70" s="33"/>
      <c r="AS70" s="3"/>
      <c r="AW70" s="41"/>
      <c r="AX70" s="41"/>
      <c r="AY70" s="3"/>
      <c r="BF70" s="42"/>
      <c r="BG70" s="42"/>
      <c r="BH70" s="42"/>
      <c r="BI70" s="42"/>
      <c r="BJ70" s="42"/>
      <c r="BK70" s="42"/>
      <c r="BL70" s="42"/>
      <c r="BM70" s="42"/>
      <c r="BN70" s="42"/>
      <c r="BO70" s="3"/>
      <c r="BP70" s="3"/>
      <c r="BQ70" s="3"/>
      <c r="BR70" s="3"/>
      <c r="BS70" s="42"/>
      <c r="BT70" s="42"/>
      <c r="BU70" s="42"/>
      <c r="BV70" s="42"/>
      <c r="BW70" s="42"/>
      <c r="BX70" s="42"/>
      <c r="BY70" s="42"/>
      <c r="BZ70" s="42"/>
      <c r="CA70" s="42"/>
      <c r="CB70" s="2"/>
      <c r="CC70" s="3"/>
      <c r="CD70" s="3"/>
      <c r="CE70" s="3"/>
      <c r="CF70" s="42"/>
      <c r="CG70" s="42"/>
      <c r="CH70" s="42"/>
      <c r="CI70" s="42"/>
      <c r="CJ70" s="42"/>
      <c r="CK70" s="42"/>
      <c r="CL70" s="42"/>
      <c r="CM70" s="42"/>
      <c r="CN70" s="42"/>
      <c r="CO70" s="3"/>
      <c r="CP70" s="3"/>
      <c r="CQ70" s="3"/>
      <c r="CR70" s="43"/>
      <c r="CS70" s="42"/>
      <c r="CT70" s="42"/>
      <c r="CU70" s="42"/>
      <c r="CV70" s="42"/>
      <c r="CW70" s="42"/>
      <c r="CX70" s="42"/>
      <c r="CY70" s="42"/>
      <c r="CZ70" s="42"/>
      <c r="DA70" s="42"/>
      <c r="DC70" s="13"/>
      <c r="DE70" s="13"/>
    </row>
    <row r="71" spans="15:109" x14ac:dyDescent="0.4">
      <c r="O71" s="12"/>
      <c r="P71" s="32"/>
      <c r="T71" s="32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3"/>
      <c r="AQ71" s="3"/>
      <c r="AR71" s="33"/>
      <c r="AS71" s="3"/>
      <c r="AW71" s="41"/>
      <c r="AX71" s="41"/>
      <c r="AY71" s="3"/>
      <c r="BF71" s="42"/>
      <c r="BG71" s="42"/>
      <c r="BH71" s="42"/>
      <c r="BI71" s="42"/>
      <c r="BJ71" s="42"/>
      <c r="BK71" s="42"/>
      <c r="BL71" s="42"/>
      <c r="BM71" s="42"/>
      <c r="BN71" s="42"/>
      <c r="BO71" s="3"/>
      <c r="BP71" s="3"/>
      <c r="BQ71" s="3"/>
      <c r="BR71" s="3"/>
      <c r="BS71" s="42"/>
      <c r="BT71" s="42"/>
      <c r="BU71" s="42"/>
      <c r="BV71" s="42"/>
      <c r="BW71" s="42"/>
      <c r="BX71" s="42"/>
      <c r="BY71" s="42"/>
      <c r="BZ71" s="42"/>
      <c r="CA71" s="42"/>
      <c r="CB71" s="2"/>
      <c r="CC71" s="3"/>
      <c r="CD71" s="3"/>
      <c r="CE71" s="3"/>
      <c r="CF71" s="42"/>
      <c r="CG71" s="42"/>
      <c r="CH71" s="42"/>
      <c r="CI71" s="42"/>
      <c r="CJ71" s="42"/>
      <c r="CK71" s="42"/>
      <c r="CL71" s="42"/>
      <c r="CM71" s="42"/>
      <c r="CN71" s="42"/>
      <c r="CO71" s="3"/>
      <c r="CP71" s="3"/>
      <c r="CQ71" s="3"/>
      <c r="CR71" s="43"/>
      <c r="CS71" s="42"/>
      <c r="CT71" s="42"/>
      <c r="CU71" s="42"/>
      <c r="CV71" s="42"/>
      <c r="CW71" s="42"/>
      <c r="CX71" s="42"/>
      <c r="CY71" s="42"/>
      <c r="CZ71" s="42"/>
      <c r="DA71" s="42"/>
      <c r="DC71" s="13"/>
      <c r="DE71" s="13"/>
    </row>
    <row r="72" spans="15:109" x14ac:dyDescent="0.4">
      <c r="O72" s="12"/>
      <c r="P72" s="32"/>
      <c r="T72" s="32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3"/>
      <c r="AQ72" s="3"/>
      <c r="AR72" s="33"/>
      <c r="AS72" s="3"/>
      <c r="AW72" s="41"/>
      <c r="AX72" s="41"/>
      <c r="AY72" s="3"/>
      <c r="BF72" s="42"/>
      <c r="BG72" s="42"/>
      <c r="BH72" s="42"/>
      <c r="BI72" s="42"/>
      <c r="BJ72" s="42"/>
      <c r="BK72" s="42"/>
      <c r="BL72" s="42"/>
      <c r="BM72" s="42"/>
      <c r="BN72" s="42"/>
      <c r="BO72" s="3"/>
      <c r="BP72" s="3"/>
      <c r="BQ72" s="3"/>
      <c r="BR72" s="3"/>
      <c r="BS72" s="42"/>
      <c r="BT72" s="42"/>
      <c r="BU72" s="42"/>
      <c r="BV72" s="42"/>
      <c r="BW72" s="42"/>
      <c r="BX72" s="42"/>
      <c r="BY72" s="42"/>
      <c r="BZ72" s="42"/>
      <c r="CA72" s="42"/>
      <c r="CB72" s="2"/>
      <c r="CC72" s="3"/>
      <c r="CD72" s="3"/>
      <c r="CE72" s="3"/>
      <c r="CF72" s="42"/>
      <c r="CG72" s="42"/>
      <c r="CH72" s="42"/>
      <c r="CI72" s="42"/>
      <c r="CJ72" s="42"/>
      <c r="CK72" s="42"/>
      <c r="CL72" s="42"/>
      <c r="CM72" s="42"/>
      <c r="CN72" s="42"/>
      <c r="CO72" s="3"/>
      <c r="CP72" s="3"/>
      <c r="CQ72" s="3"/>
      <c r="CR72" s="43"/>
      <c r="CS72" s="42"/>
      <c r="CT72" s="42"/>
      <c r="CU72" s="42"/>
      <c r="CV72" s="42"/>
      <c r="CW72" s="42"/>
      <c r="CX72" s="42"/>
      <c r="CY72" s="42"/>
      <c r="CZ72" s="42"/>
      <c r="DA72" s="42"/>
      <c r="DC72" s="13"/>
      <c r="DE72" s="13"/>
    </row>
    <row r="73" spans="15:109" x14ac:dyDescent="0.4">
      <c r="O73" s="12"/>
      <c r="P73" s="32"/>
      <c r="T73" s="32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3"/>
      <c r="AQ73" s="3"/>
      <c r="AR73" s="33"/>
      <c r="AS73" s="3"/>
      <c r="AW73" s="41"/>
      <c r="AX73" s="41"/>
      <c r="AY73" s="3"/>
      <c r="BF73" s="42"/>
      <c r="BG73" s="42"/>
      <c r="BH73" s="42"/>
      <c r="BI73" s="42"/>
      <c r="BJ73" s="42"/>
      <c r="BK73" s="42"/>
      <c r="BL73" s="42"/>
      <c r="BM73" s="42"/>
      <c r="BN73" s="42"/>
      <c r="BO73" s="3"/>
      <c r="BP73" s="3"/>
      <c r="BQ73" s="3"/>
      <c r="BR73" s="3"/>
      <c r="BS73" s="42"/>
      <c r="BT73" s="42"/>
      <c r="BU73" s="42"/>
      <c r="BV73" s="42"/>
      <c r="BW73" s="42"/>
      <c r="BX73" s="42"/>
      <c r="BY73" s="42"/>
      <c r="BZ73" s="42"/>
      <c r="CA73" s="42"/>
      <c r="CB73" s="2"/>
      <c r="CC73" s="3"/>
      <c r="CD73" s="3"/>
      <c r="CE73" s="3"/>
      <c r="CF73" s="42"/>
      <c r="CG73" s="42"/>
      <c r="CH73" s="42"/>
      <c r="CI73" s="42"/>
      <c r="CJ73" s="42"/>
      <c r="CK73" s="42"/>
      <c r="CL73" s="42"/>
      <c r="CM73" s="42"/>
      <c r="CN73" s="42"/>
      <c r="CO73" s="3"/>
      <c r="CP73" s="3"/>
      <c r="CQ73" s="3"/>
      <c r="CR73" s="43"/>
      <c r="CS73" s="42"/>
      <c r="CT73" s="42"/>
      <c r="CU73" s="42"/>
      <c r="CV73" s="42"/>
      <c r="CW73" s="42"/>
      <c r="CX73" s="42"/>
      <c r="CY73" s="42"/>
      <c r="CZ73" s="42"/>
      <c r="DA73" s="42"/>
      <c r="DC73" s="13"/>
      <c r="DE73" s="13"/>
    </row>
    <row r="74" spans="15:109" x14ac:dyDescent="0.4">
      <c r="O74" s="12"/>
      <c r="P74" s="32"/>
      <c r="T74" s="32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3"/>
      <c r="AQ74" s="3"/>
      <c r="AR74" s="33"/>
      <c r="AS74" s="3"/>
      <c r="AW74" s="41"/>
      <c r="AX74" s="41"/>
      <c r="AY74" s="3"/>
      <c r="BF74" s="42"/>
      <c r="BG74" s="42"/>
      <c r="BH74" s="42"/>
      <c r="BI74" s="42"/>
      <c r="BJ74" s="42"/>
      <c r="BK74" s="42"/>
      <c r="BL74" s="42"/>
      <c r="BM74" s="42"/>
      <c r="BN74" s="42"/>
      <c r="BO74" s="3"/>
      <c r="BP74" s="3"/>
      <c r="BQ74" s="3"/>
      <c r="BR74" s="3"/>
      <c r="BS74" s="42"/>
      <c r="BT74" s="42"/>
      <c r="BU74" s="42"/>
      <c r="BV74" s="42"/>
      <c r="BW74" s="42"/>
      <c r="BX74" s="42"/>
      <c r="BY74" s="42"/>
      <c r="BZ74" s="42"/>
      <c r="CA74" s="42"/>
      <c r="CB74" s="2"/>
      <c r="CC74" s="3"/>
      <c r="CD74" s="3"/>
      <c r="CE74" s="3"/>
      <c r="CF74" s="42"/>
      <c r="CG74" s="42"/>
      <c r="CH74" s="42"/>
      <c r="CI74" s="42"/>
      <c r="CJ74" s="42"/>
      <c r="CK74" s="42"/>
      <c r="CL74" s="42"/>
      <c r="CM74" s="42"/>
      <c r="CN74" s="42"/>
      <c r="CO74" s="3"/>
      <c r="CP74" s="3"/>
      <c r="CQ74" s="3"/>
      <c r="CR74" s="43"/>
      <c r="CS74" s="42"/>
      <c r="CT74" s="42"/>
      <c r="CU74" s="42"/>
      <c r="CV74" s="42"/>
      <c r="CW74" s="42"/>
      <c r="CX74" s="42"/>
      <c r="CY74" s="42"/>
      <c r="CZ74" s="42"/>
      <c r="DA74" s="42"/>
      <c r="DC74" s="13"/>
      <c r="DE74" s="13"/>
    </row>
    <row r="75" spans="15:109" x14ac:dyDescent="0.4">
      <c r="O75" s="12"/>
      <c r="P75" s="32"/>
      <c r="T75" s="32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3"/>
      <c r="AQ75" s="3"/>
      <c r="AR75" s="33"/>
      <c r="AS75" s="3"/>
      <c r="AW75" s="41"/>
      <c r="AX75" s="41"/>
      <c r="AY75" s="3"/>
      <c r="BF75" s="42"/>
      <c r="BG75" s="42"/>
      <c r="BH75" s="42"/>
      <c r="BI75" s="42"/>
      <c r="BJ75" s="42"/>
      <c r="BK75" s="42"/>
      <c r="BL75" s="42"/>
      <c r="BM75" s="42"/>
      <c r="BN75" s="42"/>
      <c r="BO75" s="3"/>
      <c r="BP75" s="3"/>
      <c r="BQ75" s="3"/>
      <c r="BR75" s="3"/>
      <c r="BS75" s="42"/>
      <c r="BT75" s="42"/>
      <c r="BU75" s="42"/>
      <c r="BV75" s="42"/>
      <c r="BW75" s="42"/>
      <c r="BX75" s="42"/>
      <c r="BY75" s="42"/>
      <c r="BZ75" s="42"/>
      <c r="CA75" s="42"/>
      <c r="CB75" s="2"/>
      <c r="CC75" s="3"/>
      <c r="CD75" s="3"/>
      <c r="CE75" s="3"/>
      <c r="CF75" s="42"/>
      <c r="CG75" s="42"/>
      <c r="CH75" s="42"/>
      <c r="CI75" s="42"/>
      <c r="CJ75" s="42"/>
      <c r="CK75" s="42"/>
      <c r="CL75" s="42"/>
      <c r="CM75" s="42"/>
      <c r="CN75" s="42"/>
      <c r="CO75" s="3"/>
      <c r="CP75" s="3"/>
      <c r="CQ75" s="3"/>
      <c r="CR75" s="43"/>
      <c r="CS75" s="42"/>
      <c r="CT75" s="42"/>
      <c r="CU75" s="42"/>
      <c r="CV75" s="42"/>
      <c r="CW75" s="42"/>
      <c r="CX75" s="42"/>
      <c r="CY75" s="42"/>
      <c r="CZ75" s="42"/>
      <c r="DA75" s="42"/>
      <c r="DC75" s="13"/>
      <c r="DE75" s="13"/>
    </row>
    <row r="76" spans="15:109" x14ac:dyDescent="0.4">
      <c r="O76" s="12"/>
      <c r="P76" s="32"/>
      <c r="T76" s="32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3"/>
      <c r="AQ76" s="3"/>
      <c r="AR76" s="33"/>
      <c r="AS76" s="3"/>
      <c r="AW76" s="41"/>
      <c r="AX76" s="41"/>
      <c r="AY76" s="3"/>
      <c r="BF76" s="42"/>
      <c r="BG76" s="42"/>
      <c r="BH76" s="42"/>
      <c r="BI76" s="42"/>
      <c r="BJ76" s="42"/>
      <c r="BK76" s="42"/>
      <c r="BL76" s="42"/>
      <c r="BM76" s="42"/>
      <c r="BN76" s="42"/>
      <c r="BO76" s="3"/>
      <c r="BP76" s="3"/>
      <c r="BQ76" s="3"/>
      <c r="BR76" s="3"/>
      <c r="BS76" s="42"/>
      <c r="BT76" s="42"/>
      <c r="BU76" s="42"/>
      <c r="BV76" s="42"/>
      <c r="BW76" s="42"/>
      <c r="BX76" s="42"/>
      <c r="BY76" s="42"/>
      <c r="BZ76" s="42"/>
      <c r="CA76" s="42"/>
      <c r="CB76" s="2"/>
      <c r="CC76" s="3"/>
      <c r="CD76" s="3"/>
      <c r="CE76" s="3"/>
      <c r="CF76" s="42"/>
      <c r="CG76" s="42"/>
      <c r="CH76" s="42"/>
      <c r="CI76" s="42"/>
      <c r="CJ76" s="42"/>
      <c r="CK76" s="42"/>
      <c r="CL76" s="42"/>
      <c r="CM76" s="42"/>
      <c r="CN76" s="42"/>
      <c r="CO76" s="3"/>
      <c r="CP76" s="3"/>
      <c r="CQ76" s="3"/>
      <c r="CR76" s="43"/>
      <c r="CS76" s="42"/>
      <c r="CT76" s="42"/>
      <c r="CU76" s="42"/>
      <c r="CV76" s="42"/>
      <c r="CW76" s="42"/>
      <c r="CX76" s="42"/>
      <c r="CY76" s="42"/>
      <c r="CZ76" s="42"/>
      <c r="DA76" s="42"/>
      <c r="DC76" s="13"/>
      <c r="DE76" s="13"/>
    </row>
    <row r="77" spans="15:109" x14ac:dyDescent="0.4">
      <c r="O77" s="12"/>
      <c r="P77" s="32"/>
      <c r="T77" s="32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3"/>
      <c r="AQ77" s="3"/>
      <c r="AR77" s="33"/>
      <c r="AS77" s="3"/>
      <c r="AW77" s="41"/>
      <c r="AX77" s="41"/>
      <c r="AY77" s="3"/>
      <c r="BF77" s="42"/>
      <c r="BG77" s="42"/>
      <c r="BH77" s="42"/>
      <c r="BI77" s="42"/>
      <c r="BJ77" s="42"/>
      <c r="BK77" s="42"/>
      <c r="BL77" s="42"/>
      <c r="BM77" s="42"/>
      <c r="BN77" s="42"/>
      <c r="BO77" s="3"/>
      <c r="BP77" s="3"/>
      <c r="BQ77" s="3"/>
      <c r="BR77" s="3"/>
      <c r="BS77" s="42"/>
      <c r="BT77" s="42"/>
      <c r="BU77" s="42"/>
      <c r="BV77" s="42"/>
      <c r="BW77" s="42"/>
      <c r="BX77" s="42"/>
      <c r="BY77" s="42"/>
      <c r="BZ77" s="42"/>
      <c r="CA77" s="42"/>
      <c r="CB77" s="2"/>
      <c r="CC77" s="3"/>
      <c r="CD77" s="3"/>
      <c r="CE77" s="3"/>
      <c r="CF77" s="42"/>
      <c r="CG77" s="42"/>
      <c r="CH77" s="42"/>
      <c r="CI77" s="42"/>
      <c r="CJ77" s="42"/>
      <c r="CK77" s="42"/>
      <c r="CL77" s="42"/>
      <c r="CM77" s="42"/>
      <c r="CN77" s="42"/>
      <c r="CO77" s="3"/>
      <c r="CP77" s="3"/>
      <c r="CQ77" s="3"/>
      <c r="CR77" s="43"/>
      <c r="CS77" s="42"/>
      <c r="CT77" s="42"/>
      <c r="CU77" s="42"/>
      <c r="CV77" s="42"/>
      <c r="CW77" s="42"/>
      <c r="CX77" s="42"/>
      <c r="CY77" s="42"/>
      <c r="CZ77" s="42"/>
      <c r="DA77" s="42"/>
      <c r="DC77" s="13"/>
      <c r="DE77" s="13"/>
    </row>
    <row r="78" spans="15:109" x14ac:dyDescent="0.4">
      <c r="O78" s="12"/>
      <c r="P78" s="32"/>
      <c r="T78" s="32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3"/>
      <c r="AQ78" s="3"/>
      <c r="AR78" s="33"/>
      <c r="AS78" s="3"/>
      <c r="AW78" s="41"/>
      <c r="AX78" s="41"/>
      <c r="AY78" s="3"/>
      <c r="BF78" s="42"/>
      <c r="BG78" s="42"/>
      <c r="BH78" s="42"/>
      <c r="BI78" s="42"/>
      <c r="BJ78" s="42"/>
      <c r="BK78" s="42"/>
      <c r="BL78" s="42"/>
      <c r="BM78" s="42"/>
      <c r="BN78" s="42"/>
      <c r="BO78" s="3"/>
      <c r="BP78" s="3"/>
      <c r="BQ78" s="3"/>
      <c r="BR78" s="3"/>
      <c r="BS78" s="42"/>
      <c r="BT78" s="42"/>
      <c r="BU78" s="42"/>
      <c r="BV78" s="42"/>
      <c r="BW78" s="42"/>
      <c r="BX78" s="42"/>
      <c r="BY78" s="42"/>
      <c r="BZ78" s="42"/>
      <c r="CA78" s="42"/>
      <c r="CB78" s="2"/>
      <c r="CC78" s="3"/>
      <c r="CD78" s="3"/>
      <c r="CE78" s="3"/>
      <c r="CF78" s="42"/>
      <c r="CG78" s="42"/>
      <c r="CH78" s="42"/>
      <c r="CI78" s="42"/>
      <c r="CJ78" s="42"/>
      <c r="CK78" s="42"/>
      <c r="CL78" s="42"/>
      <c r="CM78" s="42"/>
      <c r="CN78" s="42"/>
      <c r="CO78" s="3"/>
      <c r="CP78" s="3"/>
      <c r="CQ78" s="3"/>
      <c r="CR78" s="43"/>
      <c r="CS78" s="42"/>
      <c r="CT78" s="42"/>
      <c r="CU78" s="42"/>
      <c r="CV78" s="42"/>
      <c r="CW78" s="42"/>
      <c r="CX78" s="42"/>
      <c r="CY78" s="42"/>
      <c r="CZ78" s="42"/>
      <c r="DA78" s="42"/>
      <c r="DC78" s="13"/>
      <c r="DE78" s="13"/>
    </row>
    <row r="79" spans="15:109" x14ac:dyDescent="0.4">
      <c r="O79" s="12"/>
      <c r="P79" s="32"/>
      <c r="T79" s="32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3"/>
      <c r="AQ79" s="3"/>
      <c r="AR79" s="33"/>
      <c r="AS79" s="3"/>
      <c r="AW79" s="41"/>
      <c r="AX79" s="41"/>
      <c r="AY79" s="3"/>
      <c r="BF79" s="42"/>
      <c r="BG79" s="42"/>
      <c r="BH79" s="42"/>
      <c r="BI79" s="42"/>
      <c r="BJ79" s="42"/>
      <c r="BK79" s="42"/>
      <c r="BL79" s="42"/>
      <c r="BM79" s="42"/>
      <c r="BN79" s="42"/>
      <c r="BO79" s="3"/>
      <c r="BP79" s="3"/>
      <c r="BQ79" s="3"/>
      <c r="BR79" s="3"/>
      <c r="BS79" s="42"/>
      <c r="BT79" s="42"/>
      <c r="BU79" s="42"/>
      <c r="BV79" s="42"/>
      <c r="BW79" s="42"/>
      <c r="BX79" s="42"/>
      <c r="BY79" s="42"/>
      <c r="BZ79" s="42"/>
      <c r="CA79" s="42"/>
      <c r="CB79" s="2"/>
      <c r="CC79" s="3"/>
      <c r="CD79" s="3"/>
      <c r="CE79" s="3"/>
      <c r="CF79" s="42"/>
      <c r="CG79" s="42"/>
      <c r="CH79" s="42"/>
      <c r="CI79" s="42"/>
      <c r="CJ79" s="42"/>
      <c r="CK79" s="42"/>
      <c r="CL79" s="42"/>
      <c r="CM79" s="42"/>
      <c r="CN79" s="42"/>
      <c r="CO79" s="3"/>
      <c r="CP79" s="3"/>
      <c r="CQ79" s="3"/>
      <c r="CR79" s="43"/>
      <c r="CS79" s="42"/>
      <c r="CT79" s="42"/>
      <c r="CU79" s="42"/>
      <c r="CV79" s="42"/>
      <c r="CW79" s="42"/>
      <c r="CX79" s="42"/>
      <c r="CY79" s="42"/>
      <c r="CZ79" s="42"/>
      <c r="DA79" s="42"/>
      <c r="DC79" s="13"/>
      <c r="DE79" s="13"/>
    </row>
    <row r="80" spans="15:109" x14ac:dyDescent="0.4">
      <c r="O80" s="12"/>
      <c r="P80" s="32"/>
      <c r="T80" s="32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3"/>
      <c r="AQ80" s="3"/>
      <c r="AR80" s="33"/>
      <c r="AS80" s="3"/>
      <c r="AW80" s="41"/>
      <c r="AX80" s="41"/>
      <c r="AY80" s="3"/>
      <c r="BF80" s="42"/>
      <c r="BG80" s="42"/>
      <c r="BH80" s="42"/>
      <c r="BI80" s="42"/>
      <c r="BJ80" s="42"/>
      <c r="BK80" s="42"/>
      <c r="BL80" s="42"/>
      <c r="BM80" s="42"/>
      <c r="BN80" s="42"/>
      <c r="BO80" s="3"/>
      <c r="BP80" s="3"/>
      <c r="BQ80" s="3"/>
      <c r="BR80" s="3"/>
      <c r="BS80" s="42"/>
      <c r="BT80" s="42"/>
      <c r="BU80" s="42"/>
      <c r="BV80" s="42"/>
      <c r="BW80" s="42"/>
      <c r="BX80" s="42"/>
      <c r="BY80" s="42"/>
      <c r="BZ80" s="42"/>
      <c r="CA80" s="42"/>
      <c r="CB80" s="2"/>
      <c r="CC80" s="3"/>
      <c r="CD80" s="3"/>
      <c r="CE80" s="3"/>
      <c r="CF80" s="42"/>
      <c r="CG80" s="42"/>
      <c r="CH80" s="42"/>
      <c r="CI80" s="42"/>
      <c r="CJ80" s="42"/>
      <c r="CK80" s="42"/>
      <c r="CL80" s="42"/>
      <c r="CM80" s="42"/>
      <c r="CN80" s="42"/>
      <c r="CO80" s="3"/>
      <c r="CP80" s="3"/>
      <c r="CQ80" s="3"/>
      <c r="CR80" s="43"/>
      <c r="CS80" s="42"/>
      <c r="CT80" s="42"/>
      <c r="CU80" s="42"/>
      <c r="CV80" s="42"/>
      <c r="CW80" s="42"/>
      <c r="CX80" s="42"/>
      <c r="CY80" s="42"/>
      <c r="CZ80" s="42"/>
      <c r="DA80" s="42"/>
      <c r="DC80" s="13"/>
      <c r="DE80" s="13"/>
    </row>
    <row r="81" spans="15:109" x14ac:dyDescent="0.4">
      <c r="O81" s="12"/>
      <c r="P81" s="32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3"/>
      <c r="AQ81" s="3"/>
      <c r="AR81" s="33"/>
      <c r="AS81" s="3"/>
      <c r="AW81" s="41"/>
      <c r="AX81" s="41"/>
      <c r="AY81" s="3"/>
      <c r="BF81" s="42"/>
      <c r="BG81" s="42"/>
      <c r="BH81" s="42"/>
      <c r="BI81" s="42"/>
      <c r="BJ81" s="42"/>
      <c r="BK81" s="42"/>
      <c r="BL81" s="42"/>
      <c r="BM81" s="42"/>
      <c r="BN81" s="42"/>
      <c r="BO81" s="3"/>
      <c r="BP81" s="3"/>
      <c r="BQ81" s="3"/>
      <c r="BR81" s="3"/>
      <c r="BS81" s="42"/>
      <c r="BT81" s="42"/>
      <c r="BU81" s="42"/>
      <c r="BV81" s="42"/>
      <c r="BW81" s="42"/>
      <c r="BX81" s="42"/>
      <c r="BY81" s="42"/>
      <c r="BZ81" s="42"/>
      <c r="CA81" s="42"/>
      <c r="CB81" s="2"/>
      <c r="CC81" s="3"/>
      <c r="CD81" s="3"/>
      <c r="CE81" s="3"/>
      <c r="CF81" s="42"/>
      <c r="CG81" s="42"/>
      <c r="CH81" s="42"/>
      <c r="CI81" s="42"/>
      <c r="CJ81" s="42"/>
      <c r="CK81" s="42"/>
      <c r="CL81" s="42"/>
      <c r="CM81" s="42"/>
      <c r="CN81" s="42"/>
      <c r="CO81" s="3"/>
      <c r="CP81" s="3"/>
      <c r="CQ81" s="3"/>
      <c r="CR81" s="43"/>
      <c r="CS81" s="42"/>
      <c r="CT81" s="42"/>
      <c r="CU81" s="42"/>
      <c r="CV81" s="42"/>
      <c r="CW81" s="42"/>
      <c r="CX81" s="42"/>
      <c r="CY81" s="42"/>
      <c r="CZ81" s="42"/>
      <c r="DA81" s="42"/>
      <c r="DC81" s="13"/>
      <c r="DE81" s="13"/>
    </row>
    <row r="82" spans="15:109" x14ac:dyDescent="0.4">
      <c r="O82" s="12"/>
      <c r="P82" s="32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3"/>
      <c r="AQ82" s="3"/>
      <c r="AR82" s="33"/>
      <c r="AS82" s="3"/>
      <c r="AW82" s="41"/>
      <c r="AX82" s="41"/>
      <c r="AY82" s="3"/>
      <c r="BF82" s="42"/>
      <c r="BG82" s="42"/>
      <c r="BH82" s="42"/>
      <c r="BI82" s="42"/>
      <c r="BJ82" s="42"/>
      <c r="BK82" s="42"/>
      <c r="BL82" s="42"/>
      <c r="BM82" s="42"/>
      <c r="BN82" s="42"/>
      <c r="BO82" s="3"/>
      <c r="BP82" s="3"/>
      <c r="BQ82" s="3"/>
      <c r="BR82" s="3"/>
      <c r="BS82" s="42"/>
      <c r="BT82" s="42"/>
      <c r="BU82" s="42"/>
      <c r="BV82" s="42"/>
      <c r="BW82" s="42"/>
      <c r="BX82" s="42"/>
      <c r="BY82" s="42"/>
      <c r="BZ82" s="42"/>
      <c r="CA82" s="42"/>
      <c r="CB82" s="2"/>
      <c r="CC82" s="3"/>
      <c r="CD82" s="3"/>
      <c r="CE82" s="3"/>
      <c r="CF82" s="42"/>
      <c r="CG82" s="42"/>
      <c r="CH82" s="42"/>
      <c r="CI82" s="42"/>
      <c r="CJ82" s="42"/>
      <c r="CK82" s="42"/>
      <c r="CL82" s="42"/>
      <c r="CM82" s="42"/>
      <c r="CN82" s="42"/>
      <c r="CO82" s="3"/>
      <c r="CP82" s="3"/>
      <c r="CQ82" s="3"/>
      <c r="CR82" s="43"/>
      <c r="CS82" s="42"/>
      <c r="CT82" s="42"/>
      <c r="CU82" s="42"/>
      <c r="CV82" s="42"/>
      <c r="CW82" s="42"/>
      <c r="CX82" s="42"/>
      <c r="CY82" s="42"/>
      <c r="CZ82" s="42"/>
      <c r="DA82" s="42"/>
      <c r="DC82" s="13"/>
      <c r="DE82" s="13"/>
    </row>
    <row r="83" spans="15:109" x14ac:dyDescent="0.4">
      <c r="O83" s="12"/>
      <c r="P83" s="32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3"/>
      <c r="AQ83" s="3"/>
      <c r="AR83" s="33"/>
      <c r="AS83" s="3"/>
      <c r="AW83" s="41"/>
      <c r="AX83" s="41"/>
      <c r="AY83" s="3"/>
      <c r="BF83" s="42"/>
      <c r="BG83" s="42"/>
      <c r="BH83" s="42"/>
      <c r="BI83" s="42"/>
      <c r="BJ83" s="42"/>
      <c r="BK83" s="42"/>
      <c r="BL83" s="42"/>
      <c r="BM83" s="42"/>
      <c r="BN83" s="42"/>
      <c r="BO83" s="3"/>
      <c r="BP83" s="3"/>
      <c r="BQ83" s="3"/>
      <c r="BR83" s="3"/>
      <c r="BS83" s="42"/>
      <c r="BT83" s="42"/>
      <c r="BU83" s="42"/>
      <c r="BV83" s="42"/>
      <c r="BW83" s="42"/>
      <c r="BX83" s="42"/>
      <c r="BY83" s="42"/>
      <c r="BZ83" s="42"/>
      <c r="CA83" s="42"/>
      <c r="CB83" s="2"/>
      <c r="CC83" s="3"/>
      <c r="CD83" s="3"/>
      <c r="CE83" s="3"/>
      <c r="CF83" s="42"/>
      <c r="CG83" s="42"/>
      <c r="CH83" s="42"/>
      <c r="CI83" s="42"/>
      <c r="CJ83" s="42"/>
      <c r="CK83" s="42"/>
      <c r="CL83" s="42"/>
      <c r="CM83" s="42"/>
      <c r="CN83" s="42"/>
      <c r="CO83" s="3"/>
      <c r="CP83" s="3"/>
      <c r="CQ83" s="3"/>
      <c r="CR83" s="43"/>
      <c r="CS83" s="42"/>
      <c r="CT83" s="42"/>
      <c r="CU83" s="42"/>
      <c r="CV83" s="42"/>
      <c r="CW83" s="42"/>
      <c r="CX83" s="42"/>
      <c r="CY83" s="42"/>
      <c r="CZ83" s="42"/>
      <c r="DA83" s="42"/>
      <c r="DC83" s="13"/>
      <c r="DE83" s="13"/>
    </row>
    <row r="84" spans="15:109" x14ac:dyDescent="0.4">
      <c r="O84" s="12"/>
      <c r="P84" s="29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3"/>
      <c r="AQ84" s="3"/>
      <c r="AR84" s="33"/>
      <c r="AS84" s="3"/>
      <c r="AW84" s="41"/>
      <c r="AX84" s="41"/>
      <c r="AY84" s="3"/>
      <c r="BF84" s="42"/>
      <c r="BG84" s="42"/>
      <c r="BH84" s="42"/>
      <c r="BI84" s="42"/>
      <c r="BJ84" s="42"/>
      <c r="BK84" s="42"/>
      <c r="BL84" s="42"/>
      <c r="BM84" s="42"/>
      <c r="BN84" s="42"/>
      <c r="BO84" s="3"/>
      <c r="BP84" s="3"/>
      <c r="BQ84" s="3"/>
      <c r="BR84" s="3"/>
      <c r="BS84" s="42"/>
      <c r="BT84" s="42"/>
      <c r="BU84" s="42"/>
      <c r="BV84" s="42"/>
      <c r="BW84" s="42"/>
      <c r="BX84" s="42"/>
      <c r="BY84" s="42"/>
      <c r="BZ84" s="42"/>
      <c r="CA84" s="42"/>
      <c r="CB84" s="2"/>
      <c r="CC84" s="3"/>
      <c r="CD84" s="3"/>
      <c r="CE84" s="3"/>
      <c r="CF84" s="42"/>
      <c r="CG84" s="42"/>
      <c r="CH84" s="42"/>
      <c r="CI84" s="42"/>
      <c r="CJ84" s="42"/>
      <c r="CK84" s="42"/>
      <c r="CL84" s="42"/>
      <c r="CM84" s="42"/>
      <c r="CN84" s="42"/>
      <c r="CO84" s="3"/>
      <c r="CP84" s="3"/>
      <c r="CQ84" s="3"/>
      <c r="CR84" s="43"/>
      <c r="CS84" s="42"/>
      <c r="CT84" s="42"/>
      <c r="CU84" s="42"/>
      <c r="CV84" s="42"/>
      <c r="CW84" s="42"/>
      <c r="CX84" s="42"/>
      <c r="CY84" s="42"/>
      <c r="CZ84" s="42"/>
      <c r="DA84" s="42"/>
      <c r="DC84" s="13"/>
      <c r="DE84" s="13"/>
    </row>
    <row r="85" spans="15:109" x14ac:dyDescent="0.4">
      <c r="O85" s="12"/>
      <c r="P85" s="29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3"/>
      <c r="AQ85" s="3"/>
      <c r="AR85" s="33"/>
      <c r="AS85" s="3"/>
      <c r="AW85" s="41"/>
      <c r="AX85" s="41"/>
      <c r="AY85" s="3"/>
      <c r="BF85" s="42"/>
      <c r="BG85" s="42"/>
      <c r="BH85" s="42"/>
      <c r="BI85" s="42"/>
      <c r="BJ85" s="42"/>
      <c r="BK85" s="42"/>
      <c r="BL85" s="42"/>
      <c r="BM85" s="42"/>
      <c r="BN85" s="42"/>
      <c r="BO85" s="3"/>
      <c r="BP85" s="3"/>
      <c r="BQ85" s="3"/>
      <c r="BR85" s="3"/>
      <c r="BS85" s="42"/>
      <c r="BT85" s="42"/>
      <c r="BU85" s="42"/>
      <c r="BV85" s="42"/>
      <c r="BW85" s="42"/>
      <c r="BX85" s="42"/>
      <c r="BY85" s="42"/>
      <c r="BZ85" s="42"/>
      <c r="CA85" s="42"/>
      <c r="CB85" s="2"/>
      <c r="CC85" s="3"/>
      <c r="CD85" s="3"/>
      <c r="CE85" s="3"/>
      <c r="CF85" s="42"/>
      <c r="CG85" s="42"/>
      <c r="CH85" s="42"/>
      <c r="CI85" s="42"/>
      <c r="CJ85" s="42"/>
      <c r="CK85" s="42"/>
      <c r="CL85" s="42"/>
      <c r="CM85" s="42"/>
      <c r="CN85" s="42"/>
      <c r="CO85" s="3"/>
      <c r="CP85" s="3"/>
      <c r="CQ85" s="3"/>
      <c r="CR85" s="43"/>
      <c r="CS85" s="42"/>
      <c r="CT85" s="42"/>
      <c r="CU85" s="42"/>
      <c r="CV85" s="42"/>
      <c r="CW85" s="42"/>
      <c r="CX85" s="42"/>
      <c r="CY85" s="42"/>
      <c r="CZ85" s="42"/>
      <c r="DA85" s="42"/>
      <c r="DC85" s="13"/>
      <c r="DE85" s="13"/>
    </row>
    <row r="86" spans="15:109" x14ac:dyDescent="0.4">
      <c r="O86" s="12"/>
      <c r="P86" s="29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3"/>
      <c r="AQ86" s="3"/>
      <c r="AR86" s="33"/>
      <c r="AS86" s="3"/>
      <c r="AW86" s="41"/>
      <c r="AX86" s="41"/>
      <c r="AY86" s="3"/>
      <c r="BF86" s="42"/>
      <c r="BG86" s="42"/>
      <c r="BH86" s="42"/>
      <c r="BI86" s="42"/>
      <c r="BJ86" s="42"/>
      <c r="BK86" s="42"/>
      <c r="BL86" s="42"/>
      <c r="BM86" s="42"/>
      <c r="BN86" s="42"/>
      <c r="BO86" s="3"/>
      <c r="BP86" s="3"/>
      <c r="BQ86" s="3"/>
      <c r="BR86" s="3"/>
      <c r="BS86" s="42"/>
      <c r="BT86" s="42"/>
      <c r="BU86" s="42"/>
      <c r="BV86" s="42"/>
      <c r="BW86" s="42"/>
      <c r="BX86" s="42"/>
      <c r="BY86" s="42"/>
      <c r="BZ86" s="42"/>
      <c r="CA86" s="42"/>
      <c r="CB86" s="2"/>
      <c r="CC86" s="3"/>
      <c r="CD86" s="3"/>
      <c r="CE86" s="3"/>
      <c r="CF86" s="42"/>
      <c r="CG86" s="42"/>
      <c r="CH86" s="42"/>
      <c r="CI86" s="42"/>
      <c r="CJ86" s="42"/>
      <c r="CK86" s="42"/>
      <c r="CL86" s="42"/>
      <c r="CM86" s="42"/>
      <c r="CN86" s="42"/>
      <c r="CO86" s="3"/>
      <c r="CP86" s="3"/>
      <c r="CQ86" s="3"/>
      <c r="CR86" s="43"/>
      <c r="CS86" s="42"/>
      <c r="CT86" s="42"/>
      <c r="CU86" s="42"/>
      <c r="CV86" s="42"/>
      <c r="CW86" s="42"/>
      <c r="CX86" s="42"/>
      <c r="CY86" s="42"/>
      <c r="CZ86" s="42"/>
      <c r="DA86" s="42"/>
      <c r="DC86" s="13"/>
      <c r="DE86" s="13"/>
    </row>
    <row r="87" spans="15:109" x14ac:dyDescent="0.4">
      <c r="O87" s="12"/>
      <c r="P87" s="29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3"/>
      <c r="AQ87" s="3"/>
      <c r="AR87" s="33"/>
      <c r="AS87" s="3"/>
      <c r="AW87" s="41"/>
      <c r="AX87" s="41"/>
      <c r="AY87" s="3"/>
      <c r="BF87" s="42"/>
      <c r="BG87" s="42"/>
      <c r="BH87" s="42"/>
      <c r="BI87" s="42"/>
      <c r="BJ87" s="42"/>
      <c r="BK87" s="42"/>
      <c r="BL87" s="42"/>
      <c r="BM87" s="42"/>
      <c r="BN87" s="42"/>
      <c r="BO87" s="3"/>
      <c r="BP87" s="3"/>
      <c r="BQ87" s="3"/>
      <c r="BR87" s="3"/>
      <c r="BS87" s="42"/>
      <c r="BT87" s="42"/>
      <c r="BU87" s="42"/>
      <c r="BV87" s="42"/>
      <c r="BW87" s="42"/>
      <c r="BX87" s="42"/>
      <c r="BY87" s="42"/>
      <c r="BZ87" s="42"/>
      <c r="CA87" s="42"/>
      <c r="CB87" s="2"/>
      <c r="CC87" s="3"/>
      <c r="CD87" s="3"/>
      <c r="CE87" s="3"/>
      <c r="CF87" s="42"/>
      <c r="CG87" s="42"/>
      <c r="CH87" s="42"/>
      <c r="CI87" s="42"/>
      <c r="CJ87" s="42"/>
      <c r="CK87" s="42"/>
      <c r="CL87" s="42"/>
      <c r="CM87" s="42"/>
      <c r="CN87" s="42"/>
      <c r="CO87" s="3"/>
      <c r="CP87" s="3"/>
      <c r="CQ87" s="3"/>
      <c r="CR87" s="43"/>
      <c r="CS87" s="42"/>
      <c r="CT87" s="42"/>
      <c r="CU87" s="42"/>
      <c r="CV87" s="42"/>
      <c r="CW87" s="42"/>
      <c r="CX87" s="42"/>
      <c r="CY87" s="42"/>
      <c r="CZ87" s="42"/>
      <c r="DA87" s="42"/>
      <c r="DC87" s="13"/>
      <c r="DE87" s="13"/>
    </row>
    <row r="88" spans="15:109" x14ac:dyDescent="0.4">
      <c r="O88" s="12"/>
      <c r="P88" s="29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3"/>
      <c r="AQ88" s="3"/>
      <c r="AR88" s="33"/>
      <c r="AS88" s="3"/>
      <c r="AW88" s="41"/>
      <c r="AX88" s="41"/>
      <c r="AY88" s="3"/>
      <c r="BF88" s="42"/>
      <c r="BG88" s="42"/>
      <c r="BH88" s="42"/>
      <c r="BI88" s="42"/>
      <c r="BJ88" s="42"/>
      <c r="BK88" s="42"/>
      <c r="BL88" s="42"/>
      <c r="BM88" s="42"/>
      <c r="BN88" s="42"/>
      <c r="BO88" s="3"/>
      <c r="BP88" s="3"/>
      <c r="BQ88" s="3"/>
      <c r="BR88" s="3"/>
      <c r="BS88" s="42"/>
      <c r="BT88" s="42"/>
      <c r="BU88" s="42"/>
      <c r="BV88" s="42"/>
      <c r="BW88" s="42"/>
      <c r="BX88" s="42"/>
      <c r="BY88" s="42"/>
      <c r="BZ88" s="42"/>
      <c r="CA88" s="42"/>
      <c r="CB88" s="2"/>
      <c r="CC88" s="3"/>
      <c r="CD88" s="3"/>
      <c r="CE88" s="3"/>
      <c r="CF88" s="42"/>
      <c r="CG88" s="42"/>
      <c r="CH88" s="42"/>
      <c r="CI88" s="42"/>
      <c r="CJ88" s="42"/>
      <c r="CK88" s="42"/>
      <c r="CL88" s="42"/>
      <c r="CM88" s="42"/>
      <c r="CN88" s="42"/>
      <c r="CO88" s="3"/>
      <c r="CP88" s="3"/>
      <c r="CQ88" s="3"/>
      <c r="CR88" s="43"/>
      <c r="CS88" s="42"/>
      <c r="CT88" s="42"/>
      <c r="CU88" s="42"/>
      <c r="CV88" s="42"/>
      <c r="CW88" s="42"/>
      <c r="CX88" s="42"/>
      <c r="CY88" s="42"/>
      <c r="CZ88" s="42"/>
      <c r="DA88" s="42"/>
      <c r="DC88" s="13"/>
      <c r="DE88" s="13"/>
    </row>
    <row r="89" spans="15:109" x14ac:dyDescent="0.4">
      <c r="O89" s="12"/>
      <c r="P89" s="29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3"/>
      <c r="AQ89" s="3"/>
      <c r="AR89" s="33"/>
      <c r="AS89" s="3"/>
      <c r="AW89" s="41"/>
      <c r="AX89" s="41"/>
      <c r="AY89" s="3"/>
      <c r="BF89" s="42"/>
      <c r="BG89" s="42"/>
      <c r="BH89" s="42"/>
      <c r="BI89" s="42"/>
      <c r="BJ89" s="42"/>
      <c r="BK89" s="42"/>
      <c r="BL89" s="42"/>
      <c r="BM89" s="42"/>
      <c r="BN89" s="42"/>
      <c r="BO89" s="3"/>
      <c r="BP89" s="3"/>
      <c r="BQ89" s="3"/>
      <c r="BR89" s="3"/>
      <c r="BS89" s="42"/>
      <c r="BT89" s="42"/>
      <c r="BU89" s="42"/>
      <c r="BV89" s="42"/>
      <c r="BW89" s="42"/>
      <c r="BX89" s="42"/>
      <c r="BY89" s="42"/>
      <c r="BZ89" s="42"/>
      <c r="CA89" s="42"/>
      <c r="CB89" s="2"/>
      <c r="CC89" s="3"/>
      <c r="CD89" s="3"/>
      <c r="CE89" s="3"/>
      <c r="CF89" s="42"/>
      <c r="CG89" s="42"/>
      <c r="CH89" s="42"/>
      <c r="CI89" s="42"/>
      <c r="CJ89" s="42"/>
      <c r="CK89" s="42"/>
      <c r="CL89" s="42"/>
      <c r="CM89" s="42"/>
      <c r="CN89" s="42"/>
      <c r="CO89" s="3"/>
      <c r="CP89" s="3"/>
      <c r="CQ89" s="3"/>
      <c r="CR89" s="43"/>
      <c r="CS89" s="42"/>
      <c r="CT89" s="42"/>
      <c r="CU89" s="42"/>
      <c r="CV89" s="42"/>
      <c r="CW89" s="42"/>
      <c r="CX89" s="42"/>
      <c r="CY89" s="42"/>
      <c r="CZ89" s="42"/>
      <c r="DA89" s="42"/>
      <c r="DC89" s="13"/>
      <c r="DE89" s="13"/>
    </row>
    <row r="90" spans="15:109" x14ac:dyDescent="0.4">
      <c r="O90" s="12"/>
      <c r="P90" s="29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3"/>
      <c r="AQ90" s="3"/>
      <c r="AR90" s="33"/>
      <c r="AS90" s="3"/>
      <c r="AW90" s="41"/>
      <c r="AX90" s="41"/>
      <c r="AY90" s="3"/>
      <c r="BF90" s="42"/>
      <c r="BG90" s="42"/>
      <c r="BH90" s="42"/>
      <c r="BI90" s="42"/>
      <c r="BJ90" s="42"/>
      <c r="BK90" s="42"/>
      <c r="BL90" s="42"/>
      <c r="BM90" s="42"/>
      <c r="BN90" s="42"/>
      <c r="BO90" s="3"/>
      <c r="BP90" s="3"/>
      <c r="BQ90" s="3"/>
      <c r="BR90" s="3"/>
      <c r="BS90" s="42"/>
      <c r="BT90" s="42"/>
      <c r="BU90" s="42"/>
      <c r="BV90" s="42"/>
      <c r="BW90" s="42"/>
      <c r="BX90" s="42"/>
      <c r="BY90" s="42"/>
      <c r="BZ90" s="42"/>
      <c r="CA90" s="42"/>
      <c r="CB90" s="2"/>
      <c r="CC90" s="3"/>
      <c r="CD90" s="3"/>
      <c r="CE90" s="3"/>
      <c r="CF90" s="42"/>
      <c r="CG90" s="42"/>
      <c r="CH90" s="42"/>
      <c r="CI90" s="42"/>
      <c r="CJ90" s="42"/>
      <c r="CK90" s="42"/>
      <c r="CL90" s="42"/>
      <c r="CM90" s="42"/>
      <c r="CN90" s="42"/>
      <c r="CO90" s="3"/>
      <c r="CP90" s="3"/>
      <c r="CQ90" s="3"/>
      <c r="CR90" s="43"/>
      <c r="CS90" s="42"/>
      <c r="CT90" s="42"/>
      <c r="CU90" s="42"/>
      <c r="CV90" s="42"/>
      <c r="CW90" s="42"/>
      <c r="CX90" s="42"/>
      <c r="CY90" s="42"/>
      <c r="CZ90" s="42"/>
      <c r="DA90" s="42"/>
      <c r="DC90" s="13"/>
      <c r="DE90" s="13"/>
    </row>
    <row r="91" spans="15:109" x14ac:dyDescent="0.4">
      <c r="DC91" s="13"/>
    </row>
    <row r="101" spans="1:109" x14ac:dyDescent="0.4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</row>
    <row r="102" spans="1:109" x14ac:dyDescent="0.4">
      <c r="E102" s="131"/>
      <c r="F102" s="131"/>
      <c r="G102" s="131"/>
      <c r="K102" s="131"/>
      <c r="L102" s="131"/>
      <c r="M102" s="131"/>
      <c r="O102" s="131"/>
      <c r="P102" s="131"/>
      <c r="Q102" s="131"/>
      <c r="R102" s="131"/>
      <c r="S102" s="131"/>
      <c r="T102" s="131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"/>
      <c r="AQ102" s="4"/>
      <c r="AR102" s="4"/>
      <c r="AS102" s="4"/>
      <c r="AT102" s="4"/>
      <c r="AU102" s="4"/>
      <c r="AV102" s="4"/>
    </row>
    <row r="103" spans="1:109" x14ac:dyDescent="0.4">
      <c r="C103" s="11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11"/>
      <c r="O103" s="4"/>
      <c r="P103" s="4"/>
      <c r="Q103" s="4"/>
      <c r="R103" s="4"/>
      <c r="S103" s="4"/>
      <c r="T103" s="4"/>
      <c r="U103" s="11"/>
      <c r="V103" s="11"/>
      <c r="W103" s="11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11"/>
      <c r="AI103" s="11"/>
      <c r="AJ103" s="11"/>
      <c r="AK103" s="11"/>
      <c r="AL103" s="11"/>
      <c r="AM103" s="11"/>
      <c r="AN103" s="11"/>
      <c r="AO103" s="11"/>
      <c r="AP103" s="48"/>
      <c r="AQ103" s="4"/>
      <c r="AR103" s="4"/>
      <c r="AS103" s="11"/>
      <c r="AT103" s="11"/>
      <c r="AU103" s="11"/>
      <c r="AV103" s="11"/>
      <c r="AZ103" s="1"/>
      <c r="BA103" s="1"/>
      <c r="BF103" s="15"/>
      <c r="BG103" s="15"/>
      <c r="BH103" s="15"/>
      <c r="BI103" s="15"/>
      <c r="BJ103" s="15"/>
      <c r="BK103" s="14"/>
      <c r="BL103" s="15"/>
      <c r="BM103" s="14"/>
      <c r="BN103" s="14"/>
      <c r="BS103" s="15"/>
      <c r="BT103" s="15"/>
      <c r="BU103" s="15"/>
      <c r="BV103" s="15"/>
      <c r="BW103" s="15"/>
      <c r="BX103" s="14"/>
      <c r="BY103" s="15"/>
      <c r="BZ103" s="14"/>
      <c r="CA103" s="14"/>
      <c r="CF103" s="15"/>
      <c r="CG103" s="15"/>
      <c r="CH103" s="15"/>
      <c r="CI103" s="15"/>
      <c r="CJ103" s="15"/>
      <c r="CK103" s="14"/>
      <c r="CL103" s="15"/>
      <c r="CM103" s="14"/>
      <c r="CN103" s="14"/>
      <c r="CS103" s="15"/>
      <c r="CT103" s="15"/>
      <c r="CU103" s="15"/>
      <c r="CV103" s="15"/>
      <c r="CW103" s="15"/>
      <c r="CX103" s="14"/>
      <c r="CY103" s="15"/>
      <c r="CZ103" s="14"/>
      <c r="DA103" s="14"/>
      <c r="DC103" s="14"/>
      <c r="DD103" s="4"/>
      <c r="DE103" s="4"/>
    </row>
    <row r="104" spans="1:109" x14ac:dyDescent="0.4">
      <c r="C104" s="12"/>
      <c r="E104" s="12"/>
      <c r="F104" s="12"/>
      <c r="G104" s="12"/>
      <c r="H104" s="12"/>
      <c r="I104" s="12"/>
      <c r="J104" s="12"/>
      <c r="K104" s="12"/>
      <c r="L104" s="12"/>
      <c r="M104" s="31"/>
      <c r="N104" s="32"/>
      <c r="O104" s="32"/>
      <c r="P104" s="32"/>
      <c r="Q104" s="32"/>
      <c r="R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3"/>
      <c r="AQ104" s="3"/>
      <c r="AR104" s="33"/>
      <c r="AS104" s="3"/>
      <c r="AT104" s="3"/>
      <c r="AU104" s="3"/>
      <c r="AV104" s="3"/>
      <c r="AW104" s="41"/>
      <c r="AX104" s="41"/>
      <c r="AY104" s="3"/>
      <c r="BF104" s="42"/>
      <c r="BG104" s="42"/>
      <c r="BH104" s="42"/>
      <c r="BI104" s="42"/>
      <c r="BJ104" s="42"/>
      <c r="BK104" s="42"/>
      <c r="BL104" s="42"/>
      <c r="BM104" s="42"/>
      <c r="BN104" s="42"/>
      <c r="BO104" s="3"/>
      <c r="BP104" s="3"/>
      <c r="BQ104" s="3"/>
      <c r="BR104" s="3"/>
      <c r="BS104" s="42"/>
      <c r="BT104" s="42"/>
      <c r="BU104" s="42"/>
      <c r="BV104" s="42"/>
      <c r="BW104" s="42"/>
      <c r="BX104" s="42"/>
      <c r="BY104" s="42"/>
      <c r="BZ104" s="42"/>
      <c r="CA104" s="42"/>
      <c r="CB104" s="2"/>
      <c r="CC104" s="3"/>
      <c r="CD104" s="3"/>
      <c r="CE104" s="3"/>
      <c r="CF104" s="42"/>
      <c r="CG104" s="42"/>
      <c r="CH104" s="42"/>
      <c r="CI104" s="42"/>
      <c r="CJ104" s="42"/>
      <c r="CK104" s="42"/>
      <c r="CL104" s="42"/>
      <c r="CM104" s="42"/>
      <c r="CN104" s="42"/>
      <c r="CO104" s="3"/>
      <c r="CP104" s="3"/>
      <c r="CQ104" s="3"/>
      <c r="CR104" s="43"/>
      <c r="CS104" s="42"/>
      <c r="CT104" s="42"/>
      <c r="CU104" s="42"/>
      <c r="CV104" s="42"/>
      <c r="CW104" s="42"/>
      <c r="CX104" s="42"/>
      <c r="CY104" s="42"/>
      <c r="CZ104" s="42"/>
      <c r="DA104" s="42"/>
      <c r="DC104" s="13"/>
      <c r="DD104" s="13"/>
      <c r="DE104" s="13"/>
    </row>
    <row r="105" spans="1:109" x14ac:dyDescent="0.4">
      <c r="C105" s="12"/>
      <c r="E105" s="12"/>
      <c r="F105" s="12"/>
      <c r="G105" s="12"/>
      <c r="H105" s="12"/>
      <c r="I105" s="12"/>
      <c r="J105" s="12"/>
      <c r="K105" s="12"/>
      <c r="L105" s="12"/>
      <c r="M105" s="31"/>
      <c r="N105" s="32"/>
      <c r="O105" s="32"/>
      <c r="P105" s="32"/>
      <c r="Q105" s="32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3"/>
      <c r="AQ105" s="3"/>
      <c r="AR105" s="33"/>
      <c r="AS105" s="3"/>
      <c r="AT105" s="3"/>
      <c r="AU105" s="3"/>
      <c r="AV105" s="3"/>
      <c r="AW105" s="41"/>
      <c r="AX105" s="41"/>
      <c r="AY105" s="3"/>
      <c r="BF105" s="42"/>
      <c r="BG105" s="42"/>
      <c r="BH105" s="42"/>
      <c r="BI105" s="42"/>
      <c r="BJ105" s="42"/>
      <c r="BK105" s="42"/>
      <c r="BL105" s="42"/>
      <c r="BM105" s="42"/>
      <c r="BN105" s="42"/>
      <c r="BO105" s="3"/>
      <c r="BP105" s="3"/>
      <c r="BQ105" s="3"/>
      <c r="BR105" s="3"/>
      <c r="BS105" s="42"/>
      <c r="BT105" s="42"/>
      <c r="BU105" s="42"/>
      <c r="BV105" s="42"/>
      <c r="BW105" s="42"/>
      <c r="BX105" s="42"/>
      <c r="BY105" s="42"/>
      <c r="BZ105" s="42"/>
      <c r="CA105" s="42"/>
      <c r="CB105" s="2"/>
      <c r="CC105" s="3"/>
      <c r="CD105" s="3"/>
      <c r="CE105" s="3"/>
      <c r="CF105" s="42"/>
      <c r="CG105" s="42"/>
      <c r="CH105" s="42"/>
      <c r="CI105" s="42"/>
      <c r="CJ105" s="42"/>
      <c r="CK105" s="42"/>
      <c r="CL105" s="42"/>
      <c r="CM105" s="42"/>
      <c r="CN105" s="42"/>
      <c r="CO105" s="3"/>
      <c r="CP105" s="3"/>
      <c r="CQ105" s="3"/>
      <c r="CR105" s="43"/>
      <c r="CS105" s="42"/>
      <c r="CT105" s="42"/>
      <c r="CU105" s="42"/>
      <c r="CV105" s="42"/>
      <c r="CW105" s="42"/>
      <c r="CX105" s="42"/>
      <c r="CY105" s="42"/>
      <c r="CZ105" s="42"/>
      <c r="DA105" s="42"/>
      <c r="DC105" s="13"/>
      <c r="DD105" s="13"/>
      <c r="DE105" s="13"/>
    </row>
    <row r="106" spans="1:109" x14ac:dyDescent="0.4">
      <c r="C106" s="12"/>
      <c r="E106" s="12"/>
      <c r="F106" s="12"/>
      <c r="G106" s="12"/>
      <c r="H106" s="12"/>
      <c r="I106" s="12"/>
      <c r="J106" s="12"/>
      <c r="K106" s="12"/>
      <c r="L106" s="12"/>
      <c r="M106" s="31"/>
      <c r="N106" s="32"/>
      <c r="O106" s="32"/>
      <c r="P106" s="32"/>
      <c r="Q106" s="32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3"/>
      <c r="AQ106" s="3"/>
      <c r="AR106" s="33"/>
      <c r="AS106" s="3"/>
      <c r="AT106" s="3"/>
      <c r="AU106" s="3"/>
      <c r="AV106" s="3"/>
      <c r="AW106" s="41"/>
      <c r="AX106" s="41"/>
      <c r="AY106" s="3"/>
      <c r="BF106" s="42"/>
      <c r="BG106" s="42"/>
      <c r="BH106" s="42"/>
      <c r="BI106" s="42"/>
      <c r="BJ106" s="42"/>
      <c r="BK106" s="42"/>
      <c r="BL106" s="42"/>
      <c r="BM106" s="42"/>
      <c r="BN106" s="42"/>
      <c r="BO106" s="3"/>
      <c r="BP106" s="3"/>
      <c r="BQ106" s="3"/>
      <c r="BR106" s="3"/>
      <c r="BS106" s="42"/>
      <c r="BT106" s="42"/>
      <c r="BU106" s="42"/>
      <c r="BV106" s="42"/>
      <c r="BW106" s="42"/>
      <c r="BX106" s="42"/>
      <c r="BY106" s="42"/>
      <c r="BZ106" s="42"/>
      <c r="CA106" s="42"/>
      <c r="CB106" s="2"/>
      <c r="CC106" s="3"/>
      <c r="CD106" s="3"/>
      <c r="CE106" s="3"/>
      <c r="CF106" s="42"/>
      <c r="CG106" s="42"/>
      <c r="CH106" s="42"/>
      <c r="CI106" s="42"/>
      <c r="CJ106" s="42"/>
      <c r="CK106" s="42"/>
      <c r="CL106" s="42"/>
      <c r="CM106" s="42"/>
      <c r="CN106" s="42"/>
      <c r="CO106" s="3"/>
      <c r="CP106" s="3"/>
      <c r="CQ106" s="3"/>
      <c r="CR106" s="43"/>
      <c r="CS106" s="42"/>
      <c r="CT106" s="42"/>
      <c r="CU106" s="42"/>
      <c r="CV106" s="42"/>
      <c r="CW106" s="42"/>
      <c r="CX106" s="42"/>
      <c r="CY106" s="42"/>
      <c r="CZ106" s="42"/>
      <c r="DA106" s="42"/>
      <c r="DC106" s="13"/>
      <c r="DD106" s="13"/>
      <c r="DE106" s="13"/>
    </row>
    <row r="107" spans="1:109" x14ac:dyDescent="0.4">
      <c r="C107" s="12"/>
      <c r="E107" s="12"/>
      <c r="F107" s="12"/>
      <c r="G107" s="12"/>
      <c r="H107" s="12"/>
      <c r="I107" s="12"/>
      <c r="J107" s="12"/>
      <c r="K107" s="12"/>
      <c r="L107" s="12"/>
      <c r="M107" s="31"/>
      <c r="N107" s="32"/>
      <c r="O107" s="32"/>
      <c r="P107" s="32"/>
      <c r="Q107" s="32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3"/>
      <c r="AQ107" s="3"/>
      <c r="AR107" s="33"/>
      <c r="AS107" s="3"/>
      <c r="AT107" s="3"/>
      <c r="AU107" s="3"/>
      <c r="AV107" s="3"/>
      <c r="AW107" s="41"/>
      <c r="AX107" s="41"/>
      <c r="AY107" s="3"/>
      <c r="BF107" s="42"/>
      <c r="BG107" s="42"/>
      <c r="BH107" s="42"/>
      <c r="BI107" s="42"/>
      <c r="BJ107" s="42"/>
      <c r="BK107" s="42"/>
      <c r="BL107" s="42"/>
      <c r="BM107" s="42"/>
      <c r="BN107" s="42"/>
      <c r="BO107" s="3"/>
      <c r="BP107" s="3"/>
      <c r="BQ107" s="3"/>
      <c r="BR107" s="3"/>
      <c r="BS107" s="42"/>
      <c r="BT107" s="42"/>
      <c r="BU107" s="42"/>
      <c r="BV107" s="42"/>
      <c r="BW107" s="42"/>
      <c r="BX107" s="42"/>
      <c r="BY107" s="42"/>
      <c r="BZ107" s="42"/>
      <c r="CA107" s="42"/>
      <c r="CB107" s="2"/>
      <c r="CC107" s="3"/>
      <c r="CD107" s="3"/>
      <c r="CE107" s="3"/>
      <c r="CF107" s="42"/>
      <c r="CG107" s="42"/>
      <c r="CH107" s="42"/>
      <c r="CI107" s="42"/>
      <c r="CJ107" s="42"/>
      <c r="CK107" s="42"/>
      <c r="CL107" s="42"/>
      <c r="CM107" s="42"/>
      <c r="CN107" s="42"/>
      <c r="CO107" s="3"/>
      <c r="CP107" s="3"/>
      <c r="CQ107" s="3"/>
      <c r="CR107" s="43"/>
      <c r="CS107" s="42"/>
      <c r="CT107" s="42"/>
      <c r="CU107" s="42"/>
      <c r="CV107" s="42"/>
      <c r="CW107" s="42"/>
      <c r="CX107" s="42"/>
      <c r="CY107" s="42"/>
      <c r="CZ107" s="42"/>
      <c r="DA107" s="42"/>
      <c r="DC107" s="13"/>
      <c r="DD107" s="13"/>
      <c r="DE107" s="13"/>
    </row>
    <row r="108" spans="1:109" x14ac:dyDescent="0.4">
      <c r="C108" s="12"/>
      <c r="E108" s="12"/>
      <c r="F108" s="12"/>
      <c r="G108" s="12"/>
      <c r="H108" s="12"/>
      <c r="I108" s="12"/>
      <c r="J108" s="12"/>
      <c r="K108" s="12"/>
      <c r="L108" s="12"/>
      <c r="M108" s="31"/>
      <c r="N108" s="32"/>
      <c r="O108" s="32"/>
      <c r="P108" s="32"/>
      <c r="Q108" s="32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3"/>
      <c r="AQ108" s="3"/>
      <c r="AR108" s="33"/>
      <c r="AS108" s="3"/>
      <c r="AT108" s="3"/>
      <c r="AU108" s="3"/>
      <c r="AV108" s="3"/>
      <c r="AW108" s="41"/>
      <c r="AX108" s="41"/>
      <c r="AY108" s="3"/>
      <c r="BF108" s="42"/>
      <c r="BG108" s="42"/>
      <c r="BH108" s="42"/>
      <c r="BI108" s="42"/>
      <c r="BJ108" s="42"/>
      <c r="BK108" s="42"/>
      <c r="BL108" s="42"/>
      <c r="BM108" s="42"/>
      <c r="BN108" s="42"/>
      <c r="BO108" s="3"/>
      <c r="BP108" s="3"/>
      <c r="BQ108" s="3"/>
      <c r="BR108" s="3"/>
      <c r="BS108" s="42"/>
      <c r="BT108" s="42"/>
      <c r="BU108" s="42"/>
      <c r="BV108" s="42"/>
      <c r="BW108" s="42"/>
      <c r="BX108" s="42"/>
      <c r="BY108" s="42"/>
      <c r="BZ108" s="42"/>
      <c r="CA108" s="42"/>
      <c r="CB108" s="2"/>
      <c r="CC108" s="3"/>
      <c r="CD108" s="3"/>
      <c r="CE108" s="3"/>
      <c r="CF108" s="42"/>
      <c r="CG108" s="42"/>
      <c r="CH108" s="42"/>
      <c r="CI108" s="42"/>
      <c r="CJ108" s="42"/>
      <c r="CK108" s="42"/>
      <c r="CL108" s="42"/>
      <c r="CM108" s="42"/>
      <c r="CN108" s="42"/>
      <c r="CO108" s="3"/>
      <c r="CP108" s="3"/>
      <c r="CQ108" s="3"/>
      <c r="CR108" s="43"/>
      <c r="CS108" s="42"/>
      <c r="CT108" s="42"/>
      <c r="CU108" s="42"/>
      <c r="CV108" s="42"/>
      <c r="CW108" s="42"/>
      <c r="CX108" s="42"/>
      <c r="CY108" s="42"/>
      <c r="CZ108" s="42"/>
      <c r="DA108" s="42"/>
      <c r="DC108" s="13"/>
      <c r="DD108" s="13"/>
      <c r="DE108" s="13"/>
    </row>
    <row r="109" spans="1:109" x14ac:dyDescent="0.4">
      <c r="C109" s="12"/>
      <c r="E109" s="12"/>
      <c r="F109" s="12"/>
      <c r="G109" s="12"/>
      <c r="H109" s="12"/>
      <c r="I109" s="12"/>
      <c r="J109" s="12"/>
      <c r="K109" s="12"/>
      <c r="L109" s="12"/>
      <c r="M109" s="31"/>
      <c r="N109" s="32"/>
      <c r="O109" s="32"/>
      <c r="P109" s="32"/>
      <c r="Q109" s="32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3"/>
      <c r="AQ109" s="3"/>
      <c r="AR109" s="33"/>
      <c r="AS109" s="3"/>
      <c r="AT109" s="3"/>
      <c r="AU109" s="3"/>
      <c r="AV109" s="3"/>
      <c r="AW109" s="41"/>
      <c r="AX109" s="41"/>
      <c r="AY109" s="3"/>
      <c r="BF109" s="42"/>
      <c r="BG109" s="42"/>
      <c r="BH109" s="42"/>
      <c r="BI109" s="42"/>
      <c r="BJ109" s="42"/>
      <c r="BK109" s="42"/>
      <c r="BL109" s="42"/>
      <c r="BM109" s="42"/>
      <c r="BN109" s="42"/>
      <c r="BO109" s="3"/>
      <c r="BP109" s="3"/>
      <c r="BQ109" s="3"/>
      <c r="BR109" s="3"/>
      <c r="BS109" s="42"/>
      <c r="BT109" s="42"/>
      <c r="BU109" s="42"/>
      <c r="BV109" s="42"/>
      <c r="BW109" s="42"/>
      <c r="BX109" s="42"/>
      <c r="BY109" s="42"/>
      <c r="BZ109" s="42"/>
      <c r="CA109" s="42"/>
      <c r="CB109" s="2"/>
      <c r="CC109" s="3"/>
      <c r="CD109" s="3"/>
      <c r="CE109" s="3"/>
      <c r="CF109" s="42"/>
      <c r="CG109" s="42"/>
      <c r="CH109" s="42"/>
      <c r="CI109" s="42"/>
      <c r="CJ109" s="42"/>
      <c r="CK109" s="42"/>
      <c r="CL109" s="42"/>
      <c r="CM109" s="42"/>
      <c r="CN109" s="42"/>
      <c r="CO109" s="3"/>
      <c r="CP109" s="3"/>
      <c r="CQ109" s="3"/>
      <c r="CR109" s="43"/>
      <c r="CS109" s="42"/>
      <c r="CT109" s="42"/>
      <c r="CU109" s="42"/>
      <c r="CV109" s="42"/>
      <c r="CW109" s="42"/>
      <c r="CX109" s="42"/>
      <c r="CY109" s="42"/>
      <c r="CZ109" s="42"/>
      <c r="DA109" s="42"/>
      <c r="DC109" s="13"/>
      <c r="DD109" s="13"/>
      <c r="DE109" s="13"/>
    </row>
    <row r="110" spans="1:109" x14ac:dyDescent="0.4">
      <c r="C110" s="12"/>
      <c r="E110" s="12"/>
      <c r="F110" s="12"/>
      <c r="G110" s="12"/>
      <c r="H110" s="12"/>
      <c r="I110" s="12"/>
      <c r="J110" s="12"/>
      <c r="K110" s="12"/>
      <c r="L110" s="12"/>
      <c r="M110" s="31"/>
      <c r="N110" s="32"/>
      <c r="O110" s="32"/>
      <c r="P110" s="32"/>
      <c r="Q110" s="32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3"/>
      <c r="AQ110" s="3"/>
      <c r="AR110" s="33"/>
      <c r="AS110" s="3"/>
      <c r="AT110" s="3"/>
      <c r="AU110" s="3"/>
      <c r="AV110" s="3"/>
      <c r="AW110" s="41"/>
      <c r="AX110" s="41"/>
      <c r="AY110" s="3"/>
      <c r="BF110" s="42"/>
      <c r="BG110" s="42"/>
      <c r="BH110" s="42"/>
      <c r="BI110" s="42"/>
      <c r="BJ110" s="42"/>
      <c r="BK110" s="42"/>
      <c r="BL110" s="42"/>
      <c r="BM110" s="42"/>
      <c r="BN110" s="42"/>
      <c r="BO110" s="3"/>
      <c r="BP110" s="3"/>
      <c r="BQ110" s="3"/>
      <c r="BR110" s="3"/>
      <c r="BS110" s="42"/>
      <c r="BT110" s="42"/>
      <c r="BU110" s="42"/>
      <c r="BV110" s="42"/>
      <c r="BW110" s="42"/>
      <c r="BX110" s="42"/>
      <c r="BY110" s="42"/>
      <c r="BZ110" s="42"/>
      <c r="CA110" s="42"/>
      <c r="CB110" s="2"/>
      <c r="CC110" s="3"/>
      <c r="CD110" s="3"/>
      <c r="CE110" s="3"/>
      <c r="CF110" s="42"/>
      <c r="CG110" s="42"/>
      <c r="CH110" s="42"/>
      <c r="CI110" s="42"/>
      <c r="CJ110" s="42"/>
      <c r="CK110" s="42"/>
      <c r="CL110" s="42"/>
      <c r="CM110" s="42"/>
      <c r="CN110" s="42"/>
      <c r="CO110" s="3"/>
      <c r="CP110" s="3"/>
      <c r="CQ110" s="3"/>
      <c r="CR110" s="43"/>
      <c r="CS110" s="42"/>
      <c r="CT110" s="42"/>
      <c r="CU110" s="42"/>
      <c r="CV110" s="42"/>
      <c r="CW110" s="42"/>
      <c r="CX110" s="42"/>
      <c r="CY110" s="42"/>
      <c r="CZ110" s="42"/>
      <c r="DA110" s="42"/>
      <c r="DC110" s="13"/>
      <c r="DD110" s="13"/>
      <c r="DE110" s="13"/>
    </row>
    <row r="111" spans="1:109" x14ac:dyDescent="0.4">
      <c r="C111" s="12"/>
      <c r="E111" s="12"/>
      <c r="F111" s="12"/>
      <c r="G111" s="12"/>
      <c r="H111" s="12"/>
      <c r="I111" s="12"/>
      <c r="J111" s="12"/>
      <c r="K111" s="12"/>
      <c r="L111" s="12"/>
      <c r="M111" s="31"/>
      <c r="N111" s="32"/>
      <c r="O111" s="32"/>
      <c r="P111" s="32"/>
      <c r="Q111" s="32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3"/>
      <c r="AQ111" s="3"/>
      <c r="AR111" s="33"/>
      <c r="AS111" s="3"/>
      <c r="AT111" s="3"/>
      <c r="AU111" s="3"/>
      <c r="AV111" s="3"/>
      <c r="AW111" s="41"/>
      <c r="AX111" s="41"/>
      <c r="AY111" s="3"/>
      <c r="BF111" s="42"/>
      <c r="BG111" s="42"/>
      <c r="BH111" s="42"/>
      <c r="BI111" s="42"/>
      <c r="BJ111" s="42"/>
      <c r="BK111" s="42"/>
      <c r="BL111" s="42"/>
      <c r="BM111" s="42"/>
      <c r="BN111" s="42"/>
      <c r="BO111" s="3"/>
      <c r="BP111" s="3"/>
      <c r="BQ111" s="3"/>
      <c r="BR111" s="3"/>
      <c r="BS111" s="42"/>
      <c r="BT111" s="42"/>
      <c r="BU111" s="42"/>
      <c r="BV111" s="42"/>
      <c r="BW111" s="42"/>
      <c r="BX111" s="42"/>
      <c r="BY111" s="42"/>
      <c r="BZ111" s="42"/>
      <c r="CA111" s="42"/>
      <c r="CB111" s="2"/>
      <c r="CC111" s="3"/>
      <c r="CD111" s="3"/>
      <c r="CE111" s="3"/>
      <c r="CF111" s="42"/>
      <c r="CG111" s="42"/>
      <c r="CH111" s="42"/>
      <c r="CI111" s="42"/>
      <c r="CJ111" s="42"/>
      <c r="CK111" s="42"/>
      <c r="CL111" s="42"/>
      <c r="CM111" s="42"/>
      <c r="CN111" s="42"/>
      <c r="CO111" s="3"/>
      <c r="CP111" s="3"/>
      <c r="CQ111" s="3"/>
      <c r="CR111" s="43"/>
      <c r="CS111" s="42"/>
      <c r="CT111" s="42"/>
      <c r="CU111" s="42"/>
      <c r="CV111" s="42"/>
      <c r="CW111" s="42"/>
      <c r="CX111" s="42"/>
      <c r="CY111" s="42"/>
      <c r="CZ111" s="42"/>
      <c r="DA111" s="42"/>
      <c r="DC111" s="13"/>
      <c r="DD111" s="13"/>
      <c r="DE111" s="13"/>
    </row>
    <row r="112" spans="1:109" x14ac:dyDescent="0.4">
      <c r="C112" s="12"/>
      <c r="E112" s="12"/>
      <c r="F112" s="12"/>
      <c r="G112" s="12"/>
      <c r="H112" s="12"/>
      <c r="I112" s="12"/>
      <c r="J112" s="12"/>
      <c r="K112" s="12"/>
      <c r="L112" s="12"/>
      <c r="M112" s="31"/>
      <c r="N112" s="32"/>
      <c r="O112" s="32"/>
      <c r="P112" s="32"/>
      <c r="Q112" s="32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3"/>
      <c r="AQ112" s="3"/>
      <c r="AR112" s="33"/>
      <c r="AS112" s="3"/>
      <c r="AT112" s="3"/>
      <c r="AU112" s="3"/>
      <c r="AV112" s="3"/>
      <c r="AW112" s="41"/>
      <c r="AX112" s="41"/>
      <c r="AY112" s="3"/>
      <c r="BF112" s="42"/>
      <c r="BG112" s="42"/>
      <c r="BH112" s="42"/>
      <c r="BI112" s="42"/>
      <c r="BJ112" s="42"/>
      <c r="BK112" s="42"/>
      <c r="BL112" s="42"/>
      <c r="BM112" s="42"/>
      <c r="BN112" s="42"/>
      <c r="BO112" s="3"/>
      <c r="BP112" s="3"/>
      <c r="BQ112" s="3"/>
      <c r="BR112" s="3"/>
      <c r="BS112" s="42"/>
      <c r="BT112" s="42"/>
      <c r="BU112" s="42"/>
      <c r="BV112" s="42"/>
      <c r="BW112" s="42"/>
      <c r="BX112" s="42"/>
      <c r="BY112" s="42"/>
      <c r="BZ112" s="42"/>
      <c r="CA112" s="42"/>
      <c r="CB112" s="2"/>
      <c r="CC112" s="3"/>
      <c r="CD112" s="3"/>
      <c r="CE112" s="3"/>
      <c r="CF112" s="42"/>
      <c r="CG112" s="42"/>
      <c r="CH112" s="42"/>
      <c r="CI112" s="42"/>
      <c r="CJ112" s="42"/>
      <c r="CK112" s="42"/>
      <c r="CL112" s="42"/>
      <c r="CM112" s="42"/>
      <c r="CN112" s="42"/>
      <c r="CO112" s="3"/>
      <c r="CP112" s="3"/>
      <c r="CQ112" s="3"/>
      <c r="CR112" s="43"/>
      <c r="CS112" s="42"/>
      <c r="CT112" s="42"/>
      <c r="CU112" s="42"/>
      <c r="CV112" s="42"/>
      <c r="CW112" s="42"/>
      <c r="CX112" s="42"/>
      <c r="CY112" s="42"/>
      <c r="CZ112" s="42"/>
      <c r="DA112" s="42"/>
      <c r="DC112" s="13"/>
      <c r="DD112" s="13"/>
      <c r="DE112" s="13"/>
    </row>
    <row r="113" spans="3:109" x14ac:dyDescent="0.4">
      <c r="C113" s="12"/>
      <c r="E113" s="12"/>
      <c r="F113" s="12"/>
      <c r="G113" s="12"/>
      <c r="H113" s="12"/>
      <c r="I113" s="12"/>
      <c r="J113" s="12"/>
      <c r="K113" s="12"/>
      <c r="L113" s="12"/>
      <c r="M113" s="31"/>
      <c r="N113" s="32"/>
      <c r="O113" s="32"/>
      <c r="P113" s="32"/>
      <c r="Q113" s="32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3"/>
      <c r="AQ113" s="3"/>
      <c r="AR113" s="33"/>
      <c r="AS113" s="3"/>
      <c r="AT113" s="3"/>
      <c r="AU113" s="3"/>
      <c r="AV113" s="3"/>
      <c r="AW113" s="41"/>
      <c r="AX113" s="41"/>
      <c r="AY113" s="3"/>
      <c r="BF113" s="42"/>
      <c r="BG113" s="42"/>
      <c r="BH113" s="42"/>
      <c r="BI113" s="42"/>
      <c r="BJ113" s="42"/>
      <c r="BK113" s="42"/>
      <c r="BL113" s="42"/>
      <c r="BM113" s="42"/>
      <c r="BN113" s="42"/>
      <c r="BO113" s="3"/>
      <c r="BP113" s="3"/>
      <c r="BQ113" s="3"/>
      <c r="BR113" s="3"/>
      <c r="BS113" s="42"/>
      <c r="BT113" s="42"/>
      <c r="BU113" s="42"/>
      <c r="BV113" s="42"/>
      <c r="BW113" s="42"/>
      <c r="BX113" s="42"/>
      <c r="BY113" s="42"/>
      <c r="BZ113" s="42"/>
      <c r="CA113" s="42"/>
      <c r="CB113" s="2"/>
      <c r="CC113" s="3"/>
      <c r="CD113" s="3"/>
      <c r="CE113" s="3"/>
      <c r="CF113" s="42"/>
      <c r="CG113" s="42"/>
      <c r="CH113" s="42"/>
      <c r="CI113" s="42"/>
      <c r="CJ113" s="42"/>
      <c r="CK113" s="42"/>
      <c r="CL113" s="42"/>
      <c r="CM113" s="42"/>
      <c r="CN113" s="42"/>
      <c r="CO113" s="3"/>
      <c r="CP113" s="3"/>
      <c r="CQ113" s="3"/>
      <c r="CR113" s="43"/>
      <c r="CS113" s="42"/>
      <c r="CT113" s="42"/>
      <c r="CU113" s="42"/>
      <c r="CV113" s="42"/>
      <c r="CW113" s="42"/>
      <c r="CX113" s="42"/>
      <c r="CY113" s="42"/>
      <c r="CZ113" s="42"/>
      <c r="DA113" s="42"/>
      <c r="DC113" s="13"/>
      <c r="DD113" s="13"/>
      <c r="DE113" s="13"/>
    </row>
    <row r="114" spans="3:109" x14ac:dyDescent="0.4">
      <c r="C114" s="12"/>
      <c r="E114" s="12"/>
      <c r="F114" s="12"/>
      <c r="G114" s="12"/>
      <c r="H114" s="12"/>
      <c r="I114" s="12"/>
      <c r="J114" s="12"/>
      <c r="K114" s="12"/>
      <c r="L114" s="12"/>
      <c r="M114" s="31"/>
      <c r="N114" s="32"/>
      <c r="O114" s="32"/>
      <c r="P114" s="32"/>
      <c r="Q114" s="32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3"/>
      <c r="AQ114" s="3"/>
      <c r="AR114" s="33"/>
      <c r="AS114" s="3"/>
      <c r="AT114" s="3"/>
      <c r="AU114" s="3"/>
      <c r="AV114" s="3"/>
      <c r="AW114" s="41"/>
      <c r="AX114" s="41"/>
      <c r="AY114" s="3"/>
      <c r="BF114" s="42"/>
      <c r="BG114" s="42"/>
      <c r="BH114" s="42"/>
      <c r="BI114" s="42"/>
      <c r="BJ114" s="42"/>
      <c r="BK114" s="42"/>
      <c r="BL114" s="42"/>
      <c r="BM114" s="42"/>
      <c r="BN114" s="42"/>
      <c r="BO114" s="3"/>
      <c r="BP114" s="3"/>
      <c r="BQ114" s="3"/>
      <c r="BR114" s="3"/>
      <c r="BS114" s="42"/>
      <c r="BT114" s="42"/>
      <c r="BU114" s="42"/>
      <c r="BV114" s="42"/>
      <c r="BW114" s="42"/>
      <c r="BX114" s="42"/>
      <c r="BY114" s="42"/>
      <c r="BZ114" s="42"/>
      <c r="CA114" s="42"/>
      <c r="CB114" s="2"/>
      <c r="CC114" s="3"/>
      <c r="CD114" s="3"/>
      <c r="CE114" s="3"/>
      <c r="CF114" s="42"/>
      <c r="CG114" s="42"/>
      <c r="CH114" s="42"/>
      <c r="CI114" s="42"/>
      <c r="CJ114" s="42"/>
      <c r="CK114" s="42"/>
      <c r="CL114" s="42"/>
      <c r="CM114" s="42"/>
      <c r="CN114" s="42"/>
      <c r="CO114" s="3"/>
      <c r="CP114" s="3"/>
      <c r="CQ114" s="3"/>
      <c r="CR114" s="43"/>
      <c r="CS114" s="42"/>
      <c r="CT114" s="42"/>
      <c r="CU114" s="42"/>
      <c r="CV114" s="42"/>
      <c r="CW114" s="42"/>
      <c r="CX114" s="42"/>
      <c r="CY114" s="42"/>
      <c r="CZ114" s="42"/>
      <c r="DA114" s="42"/>
      <c r="DC114" s="13"/>
      <c r="DD114" s="13"/>
      <c r="DE114" s="13"/>
    </row>
    <row r="115" spans="3:109" x14ac:dyDescent="0.4">
      <c r="C115" s="12"/>
      <c r="E115" s="12"/>
      <c r="F115" s="12"/>
      <c r="G115" s="12"/>
      <c r="H115" s="12"/>
      <c r="I115" s="12"/>
      <c r="J115" s="12"/>
      <c r="K115" s="12"/>
      <c r="L115" s="12"/>
      <c r="M115" s="31"/>
      <c r="N115" s="32"/>
      <c r="O115" s="32"/>
      <c r="P115" s="32"/>
      <c r="Q115" s="32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3"/>
      <c r="AQ115" s="3"/>
      <c r="AR115" s="33"/>
      <c r="AS115" s="3"/>
      <c r="AT115" s="3"/>
      <c r="AU115" s="3"/>
      <c r="AV115" s="3"/>
      <c r="AW115" s="41"/>
      <c r="AX115" s="41"/>
      <c r="AY115" s="3"/>
      <c r="BF115" s="42"/>
      <c r="BG115" s="42"/>
      <c r="BH115" s="42"/>
      <c r="BI115" s="42"/>
      <c r="BJ115" s="42"/>
      <c r="BK115" s="42"/>
      <c r="BL115" s="42"/>
      <c r="BM115" s="42"/>
      <c r="BN115" s="42"/>
      <c r="BO115" s="3"/>
      <c r="BP115" s="3"/>
      <c r="BQ115" s="3"/>
      <c r="BR115" s="3"/>
      <c r="BS115" s="42"/>
      <c r="BT115" s="42"/>
      <c r="BU115" s="42"/>
      <c r="BV115" s="42"/>
      <c r="BW115" s="42"/>
      <c r="BX115" s="42"/>
      <c r="BY115" s="42"/>
      <c r="BZ115" s="42"/>
      <c r="CA115" s="42"/>
      <c r="CB115" s="2"/>
      <c r="CC115" s="3"/>
      <c r="CD115" s="3"/>
      <c r="CE115" s="3"/>
      <c r="CF115" s="42"/>
      <c r="CG115" s="42"/>
      <c r="CH115" s="42"/>
      <c r="CI115" s="42"/>
      <c r="CJ115" s="42"/>
      <c r="CK115" s="42"/>
      <c r="CL115" s="42"/>
      <c r="CM115" s="42"/>
      <c r="CN115" s="42"/>
      <c r="CO115" s="3"/>
      <c r="CP115" s="3"/>
      <c r="CQ115" s="3"/>
      <c r="CR115" s="43"/>
      <c r="CS115" s="42"/>
      <c r="CT115" s="42"/>
      <c r="CU115" s="42"/>
      <c r="CV115" s="42"/>
      <c r="CW115" s="42"/>
      <c r="CX115" s="42"/>
      <c r="CY115" s="42"/>
      <c r="CZ115" s="42"/>
      <c r="DA115" s="42"/>
      <c r="DC115" s="13"/>
      <c r="DD115" s="13"/>
      <c r="DE115" s="13"/>
    </row>
    <row r="116" spans="3:109" x14ac:dyDescent="0.4">
      <c r="C116" s="12"/>
      <c r="E116" s="12"/>
      <c r="F116" s="12"/>
      <c r="G116" s="12"/>
      <c r="H116" s="12"/>
      <c r="I116" s="12"/>
      <c r="J116" s="12"/>
      <c r="K116" s="12"/>
      <c r="L116" s="12"/>
      <c r="M116" s="31"/>
      <c r="N116" s="32"/>
      <c r="O116" s="32"/>
      <c r="P116" s="32"/>
      <c r="Q116" s="32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3"/>
      <c r="AQ116" s="3"/>
      <c r="AR116" s="33"/>
      <c r="AS116" s="3"/>
      <c r="AT116" s="3"/>
      <c r="AU116" s="3"/>
      <c r="AV116" s="3"/>
      <c r="AW116" s="41"/>
      <c r="AX116" s="41"/>
      <c r="AY116" s="3"/>
      <c r="BF116" s="42"/>
      <c r="BG116" s="42"/>
      <c r="BH116" s="42"/>
      <c r="BI116" s="42"/>
      <c r="BJ116" s="42"/>
      <c r="BK116" s="42"/>
      <c r="BL116" s="42"/>
      <c r="BM116" s="42"/>
      <c r="BN116" s="42"/>
      <c r="BO116" s="3"/>
      <c r="BP116" s="3"/>
      <c r="BQ116" s="3"/>
      <c r="BR116" s="3"/>
      <c r="BS116" s="42"/>
      <c r="BT116" s="42"/>
      <c r="BU116" s="42"/>
      <c r="BV116" s="42"/>
      <c r="BW116" s="42"/>
      <c r="BX116" s="42"/>
      <c r="BY116" s="42"/>
      <c r="BZ116" s="42"/>
      <c r="CA116" s="42"/>
      <c r="CB116" s="2"/>
      <c r="CC116" s="3"/>
      <c r="CD116" s="3"/>
      <c r="CE116" s="3"/>
      <c r="CF116" s="42"/>
      <c r="CG116" s="42"/>
      <c r="CH116" s="42"/>
      <c r="CI116" s="42"/>
      <c r="CJ116" s="42"/>
      <c r="CK116" s="42"/>
      <c r="CL116" s="42"/>
      <c r="CM116" s="42"/>
      <c r="CN116" s="42"/>
      <c r="CO116" s="3"/>
      <c r="CP116" s="3"/>
      <c r="CQ116" s="3"/>
      <c r="CR116" s="43"/>
      <c r="CS116" s="42"/>
      <c r="CT116" s="42"/>
      <c r="CU116" s="42"/>
      <c r="CV116" s="42"/>
      <c r="CW116" s="42"/>
      <c r="CX116" s="42"/>
      <c r="CY116" s="42"/>
      <c r="CZ116" s="42"/>
      <c r="DA116" s="42"/>
      <c r="DC116" s="13"/>
      <c r="DD116" s="13"/>
      <c r="DE116" s="13"/>
    </row>
    <row r="117" spans="3:109" x14ac:dyDescent="0.4">
      <c r="C117" s="12"/>
      <c r="E117" s="12"/>
      <c r="F117" s="12"/>
      <c r="G117" s="12"/>
      <c r="H117" s="12"/>
      <c r="I117" s="12"/>
      <c r="J117" s="12"/>
      <c r="K117" s="12"/>
      <c r="L117" s="12"/>
      <c r="M117" s="31"/>
      <c r="N117" s="32"/>
      <c r="O117" s="32"/>
      <c r="P117" s="32"/>
      <c r="Q117" s="32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3"/>
      <c r="AQ117" s="3"/>
      <c r="AR117" s="33"/>
      <c r="AS117" s="3"/>
      <c r="AT117" s="3"/>
      <c r="AU117" s="3"/>
      <c r="AV117" s="3"/>
      <c r="AW117" s="41"/>
      <c r="AX117" s="41"/>
      <c r="AY117" s="3"/>
      <c r="BF117" s="42"/>
      <c r="BG117" s="42"/>
      <c r="BH117" s="42"/>
      <c r="BI117" s="42"/>
      <c r="BJ117" s="42"/>
      <c r="BK117" s="42"/>
      <c r="BL117" s="42"/>
      <c r="BM117" s="42"/>
      <c r="BN117" s="42"/>
      <c r="BO117" s="3"/>
      <c r="BP117" s="3"/>
      <c r="BQ117" s="3"/>
      <c r="BR117" s="3"/>
      <c r="BS117" s="42"/>
      <c r="BT117" s="42"/>
      <c r="BU117" s="42"/>
      <c r="BV117" s="42"/>
      <c r="BW117" s="42"/>
      <c r="BX117" s="42"/>
      <c r="BY117" s="42"/>
      <c r="BZ117" s="42"/>
      <c r="CA117" s="42"/>
      <c r="CB117" s="2"/>
      <c r="CC117" s="3"/>
      <c r="CD117" s="3"/>
      <c r="CE117" s="3"/>
      <c r="CF117" s="42"/>
      <c r="CG117" s="42"/>
      <c r="CH117" s="42"/>
      <c r="CI117" s="42"/>
      <c r="CJ117" s="42"/>
      <c r="CK117" s="42"/>
      <c r="CL117" s="42"/>
      <c r="CM117" s="42"/>
      <c r="CN117" s="42"/>
      <c r="CO117" s="3"/>
      <c r="CP117" s="3"/>
      <c r="CQ117" s="3"/>
      <c r="CR117" s="43"/>
      <c r="CS117" s="42"/>
      <c r="CT117" s="42"/>
      <c r="CU117" s="42"/>
      <c r="CV117" s="42"/>
      <c r="CW117" s="42"/>
      <c r="CX117" s="42"/>
      <c r="CY117" s="42"/>
      <c r="CZ117" s="42"/>
      <c r="DA117" s="42"/>
      <c r="DC117" s="13"/>
      <c r="DD117" s="13"/>
      <c r="DE117" s="13"/>
    </row>
    <row r="118" spans="3:109" x14ac:dyDescent="0.4">
      <c r="C118" s="12"/>
      <c r="E118" s="12"/>
      <c r="F118" s="12"/>
      <c r="G118" s="12"/>
      <c r="H118" s="12"/>
      <c r="I118" s="12"/>
      <c r="J118" s="12"/>
      <c r="K118" s="12"/>
      <c r="L118" s="12"/>
      <c r="M118" s="31"/>
      <c r="N118" s="32"/>
      <c r="O118" s="32"/>
      <c r="P118" s="32"/>
      <c r="Q118" s="32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3"/>
      <c r="AQ118" s="3"/>
      <c r="AR118" s="33"/>
      <c r="AS118" s="3"/>
      <c r="AT118" s="3"/>
      <c r="AU118" s="3"/>
      <c r="AV118" s="3"/>
      <c r="AW118" s="41"/>
      <c r="AX118" s="41"/>
      <c r="AY118" s="3"/>
      <c r="BF118" s="42"/>
      <c r="BG118" s="42"/>
      <c r="BH118" s="42"/>
      <c r="BI118" s="42"/>
      <c r="BJ118" s="42"/>
      <c r="BK118" s="42"/>
      <c r="BL118" s="42"/>
      <c r="BM118" s="42"/>
      <c r="BN118" s="42"/>
      <c r="BO118" s="3"/>
      <c r="BP118" s="3"/>
      <c r="BQ118" s="3"/>
      <c r="BR118" s="3"/>
      <c r="BS118" s="42"/>
      <c r="BT118" s="42"/>
      <c r="BU118" s="42"/>
      <c r="BV118" s="42"/>
      <c r="BW118" s="42"/>
      <c r="BX118" s="42"/>
      <c r="BY118" s="42"/>
      <c r="BZ118" s="42"/>
      <c r="CA118" s="42"/>
      <c r="CB118" s="2"/>
      <c r="CC118" s="3"/>
      <c r="CD118" s="3"/>
      <c r="CE118" s="3"/>
      <c r="CF118" s="42"/>
      <c r="CG118" s="42"/>
      <c r="CH118" s="42"/>
      <c r="CI118" s="42"/>
      <c r="CJ118" s="42"/>
      <c r="CK118" s="42"/>
      <c r="CL118" s="42"/>
      <c r="CM118" s="42"/>
      <c r="CN118" s="42"/>
      <c r="CO118" s="3"/>
      <c r="CP118" s="3"/>
      <c r="CQ118" s="3"/>
      <c r="CR118" s="43"/>
      <c r="CS118" s="42"/>
      <c r="CT118" s="42"/>
      <c r="CU118" s="42"/>
      <c r="CV118" s="42"/>
      <c r="CW118" s="42"/>
      <c r="CX118" s="42"/>
      <c r="CY118" s="42"/>
      <c r="CZ118" s="42"/>
      <c r="DA118" s="42"/>
      <c r="DC118" s="13"/>
      <c r="DD118" s="13"/>
      <c r="DE118" s="13"/>
    </row>
    <row r="119" spans="3:109" x14ac:dyDescent="0.4">
      <c r="C119" s="12"/>
      <c r="E119" s="12"/>
      <c r="F119" s="12"/>
      <c r="G119" s="12"/>
      <c r="H119" s="12"/>
      <c r="I119" s="12"/>
      <c r="J119" s="12"/>
      <c r="K119" s="12"/>
      <c r="L119" s="12"/>
      <c r="M119" s="31"/>
      <c r="N119" s="32"/>
      <c r="O119" s="32"/>
      <c r="P119" s="32"/>
      <c r="Q119" s="32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3"/>
      <c r="AQ119" s="3"/>
      <c r="AR119" s="33"/>
      <c r="AS119" s="3"/>
      <c r="AT119" s="3"/>
      <c r="AU119" s="3"/>
      <c r="AV119" s="3"/>
      <c r="AW119" s="41"/>
      <c r="AX119" s="41"/>
      <c r="AY119" s="3"/>
      <c r="BF119" s="42"/>
      <c r="BG119" s="42"/>
      <c r="BH119" s="42"/>
      <c r="BI119" s="42"/>
      <c r="BJ119" s="42"/>
      <c r="BK119" s="42"/>
      <c r="BL119" s="42"/>
      <c r="BM119" s="42"/>
      <c r="BN119" s="42"/>
      <c r="BO119" s="3"/>
      <c r="BP119" s="3"/>
      <c r="BQ119" s="3"/>
      <c r="BR119" s="3"/>
      <c r="BS119" s="42"/>
      <c r="BT119" s="42"/>
      <c r="BU119" s="42"/>
      <c r="BV119" s="42"/>
      <c r="BW119" s="42"/>
      <c r="BX119" s="42"/>
      <c r="BY119" s="42"/>
      <c r="BZ119" s="42"/>
      <c r="CA119" s="42"/>
      <c r="CB119" s="2"/>
      <c r="CC119" s="3"/>
      <c r="CD119" s="3"/>
      <c r="CE119" s="3"/>
      <c r="CF119" s="42"/>
      <c r="CG119" s="42"/>
      <c r="CH119" s="42"/>
      <c r="CI119" s="42"/>
      <c r="CJ119" s="42"/>
      <c r="CK119" s="42"/>
      <c r="CL119" s="42"/>
      <c r="CM119" s="42"/>
      <c r="CN119" s="42"/>
      <c r="CO119" s="3"/>
      <c r="CP119" s="3"/>
      <c r="CQ119" s="3"/>
      <c r="CR119" s="43"/>
      <c r="CS119" s="42"/>
      <c r="CT119" s="42"/>
      <c r="CU119" s="42"/>
      <c r="CV119" s="42"/>
      <c r="CW119" s="42"/>
      <c r="CX119" s="42"/>
      <c r="CY119" s="42"/>
      <c r="CZ119" s="42"/>
      <c r="DA119" s="42"/>
      <c r="DC119" s="13"/>
      <c r="DD119" s="13"/>
      <c r="DE119" s="13"/>
    </row>
    <row r="120" spans="3:109" x14ac:dyDescent="0.4">
      <c r="C120" s="12"/>
      <c r="E120" s="12"/>
      <c r="F120" s="12"/>
      <c r="G120" s="12"/>
      <c r="H120" s="12"/>
      <c r="I120" s="12"/>
      <c r="J120" s="12"/>
      <c r="K120" s="12"/>
      <c r="L120" s="12"/>
      <c r="M120" s="31"/>
      <c r="N120" s="32"/>
      <c r="O120" s="32"/>
      <c r="P120" s="32"/>
      <c r="Q120" s="32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3"/>
      <c r="AQ120" s="3"/>
      <c r="AR120" s="33"/>
      <c r="AS120" s="3"/>
      <c r="AT120" s="3"/>
      <c r="AU120" s="3"/>
      <c r="AV120" s="3"/>
      <c r="AW120" s="41"/>
      <c r="AX120" s="41"/>
      <c r="AY120" s="3"/>
      <c r="BF120" s="42"/>
      <c r="BG120" s="42"/>
      <c r="BH120" s="42"/>
      <c r="BI120" s="42"/>
      <c r="BJ120" s="42"/>
      <c r="BK120" s="42"/>
      <c r="BL120" s="42"/>
      <c r="BM120" s="42"/>
      <c r="BN120" s="42"/>
      <c r="BO120" s="3"/>
      <c r="BP120" s="3"/>
      <c r="BQ120" s="3"/>
      <c r="BR120" s="3"/>
      <c r="BS120" s="42"/>
      <c r="BT120" s="42"/>
      <c r="BU120" s="42"/>
      <c r="BV120" s="42"/>
      <c r="BW120" s="42"/>
      <c r="BX120" s="42"/>
      <c r="BY120" s="42"/>
      <c r="BZ120" s="42"/>
      <c r="CA120" s="42"/>
      <c r="CB120" s="2"/>
      <c r="CC120" s="3"/>
      <c r="CD120" s="3"/>
      <c r="CE120" s="3"/>
      <c r="CF120" s="42"/>
      <c r="CG120" s="42"/>
      <c r="CH120" s="42"/>
      <c r="CI120" s="42"/>
      <c r="CJ120" s="42"/>
      <c r="CK120" s="42"/>
      <c r="CL120" s="42"/>
      <c r="CM120" s="42"/>
      <c r="CN120" s="42"/>
      <c r="CO120" s="3"/>
      <c r="CP120" s="3"/>
      <c r="CQ120" s="3"/>
      <c r="CR120" s="43"/>
      <c r="CS120" s="42"/>
      <c r="CT120" s="42"/>
      <c r="CU120" s="42"/>
      <c r="CV120" s="42"/>
      <c r="CW120" s="42"/>
      <c r="CX120" s="42"/>
      <c r="CY120" s="42"/>
      <c r="CZ120" s="42"/>
      <c r="DA120" s="42"/>
      <c r="DC120" s="13"/>
      <c r="DD120" s="13"/>
      <c r="DE120" s="13"/>
    </row>
    <row r="121" spans="3:109" x14ac:dyDescent="0.4">
      <c r="C121" s="12"/>
      <c r="E121" s="12"/>
      <c r="F121" s="12"/>
      <c r="G121" s="12"/>
      <c r="H121" s="12"/>
      <c r="I121" s="12"/>
      <c r="J121" s="12"/>
      <c r="K121" s="12"/>
      <c r="L121" s="12"/>
      <c r="M121" s="31"/>
      <c r="N121" s="32"/>
      <c r="O121" s="32"/>
      <c r="P121" s="32"/>
      <c r="Q121" s="32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3"/>
      <c r="AQ121" s="3"/>
      <c r="AR121" s="33"/>
      <c r="AS121" s="3"/>
      <c r="AT121" s="3"/>
      <c r="AU121" s="3"/>
      <c r="AV121" s="3"/>
      <c r="AW121" s="41"/>
      <c r="AX121" s="41"/>
      <c r="AY121" s="3"/>
      <c r="BF121" s="42"/>
      <c r="BG121" s="42"/>
      <c r="BH121" s="42"/>
      <c r="BI121" s="42"/>
      <c r="BJ121" s="42"/>
      <c r="BK121" s="42"/>
      <c r="BL121" s="42"/>
      <c r="BM121" s="42"/>
      <c r="BN121" s="42"/>
      <c r="BO121" s="3"/>
      <c r="BP121" s="3"/>
      <c r="BQ121" s="3"/>
      <c r="BR121" s="3"/>
      <c r="BS121" s="42"/>
      <c r="BT121" s="42"/>
      <c r="BU121" s="42"/>
      <c r="BV121" s="42"/>
      <c r="BW121" s="42"/>
      <c r="BX121" s="42"/>
      <c r="BY121" s="42"/>
      <c r="BZ121" s="42"/>
      <c r="CA121" s="42"/>
      <c r="CB121" s="2"/>
      <c r="CC121" s="3"/>
      <c r="CD121" s="3"/>
      <c r="CE121" s="3"/>
      <c r="CF121" s="42"/>
      <c r="CG121" s="42"/>
      <c r="CH121" s="42"/>
      <c r="CI121" s="42"/>
      <c r="CJ121" s="42"/>
      <c r="CK121" s="42"/>
      <c r="CL121" s="42"/>
      <c r="CM121" s="42"/>
      <c r="CN121" s="42"/>
      <c r="CO121" s="3"/>
      <c r="CP121" s="3"/>
      <c r="CQ121" s="3"/>
      <c r="CR121" s="43"/>
      <c r="CS121" s="42"/>
      <c r="CT121" s="42"/>
      <c r="CU121" s="42"/>
      <c r="CV121" s="42"/>
      <c r="CW121" s="42"/>
      <c r="CX121" s="42"/>
      <c r="CY121" s="42"/>
      <c r="CZ121" s="42"/>
      <c r="DA121" s="42"/>
      <c r="DC121" s="13"/>
      <c r="DD121" s="13"/>
      <c r="DE121" s="13"/>
    </row>
    <row r="122" spans="3:109" x14ac:dyDescent="0.4">
      <c r="C122" s="12"/>
      <c r="E122" s="12"/>
      <c r="F122" s="12"/>
      <c r="G122" s="12"/>
      <c r="H122" s="12"/>
      <c r="I122" s="12"/>
      <c r="J122" s="12"/>
      <c r="K122" s="12"/>
      <c r="L122" s="12"/>
      <c r="M122" s="31"/>
      <c r="N122" s="32"/>
      <c r="O122" s="32"/>
      <c r="P122" s="32"/>
      <c r="Q122" s="32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3"/>
      <c r="AQ122" s="3"/>
      <c r="AR122" s="33"/>
      <c r="AS122" s="3"/>
      <c r="AT122" s="3"/>
      <c r="AU122" s="3"/>
      <c r="AV122" s="3"/>
      <c r="AW122" s="41"/>
      <c r="AX122" s="41"/>
      <c r="AY122" s="3"/>
      <c r="BF122" s="42"/>
      <c r="BG122" s="42"/>
      <c r="BH122" s="42"/>
      <c r="BI122" s="42"/>
      <c r="BJ122" s="42"/>
      <c r="BK122" s="42"/>
      <c r="BL122" s="42"/>
      <c r="BM122" s="42"/>
      <c r="BN122" s="42"/>
      <c r="BO122" s="3"/>
      <c r="BP122" s="3"/>
      <c r="BQ122" s="3"/>
      <c r="BR122" s="3"/>
      <c r="BS122" s="42"/>
      <c r="BT122" s="42"/>
      <c r="BU122" s="42"/>
      <c r="BV122" s="42"/>
      <c r="BW122" s="42"/>
      <c r="BX122" s="42"/>
      <c r="BY122" s="42"/>
      <c r="BZ122" s="42"/>
      <c r="CA122" s="42"/>
      <c r="CB122" s="2"/>
      <c r="CC122" s="3"/>
      <c r="CD122" s="3"/>
      <c r="CE122" s="3"/>
      <c r="CF122" s="42"/>
      <c r="CG122" s="42"/>
      <c r="CH122" s="42"/>
      <c r="CI122" s="42"/>
      <c r="CJ122" s="42"/>
      <c r="CK122" s="42"/>
      <c r="CL122" s="42"/>
      <c r="CM122" s="42"/>
      <c r="CN122" s="42"/>
      <c r="CO122" s="3"/>
      <c r="CP122" s="3"/>
      <c r="CQ122" s="3"/>
      <c r="CR122" s="43"/>
      <c r="CS122" s="42"/>
      <c r="CT122" s="42"/>
      <c r="CU122" s="42"/>
      <c r="CV122" s="42"/>
      <c r="CW122" s="42"/>
      <c r="CX122" s="42"/>
      <c r="CY122" s="42"/>
      <c r="CZ122" s="42"/>
      <c r="DA122" s="42"/>
      <c r="DC122" s="13"/>
      <c r="DD122" s="13"/>
      <c r="DE122" s="13"/>
    </row>
    <row r="123" spans="3:109" x14ac:dyDescent="0.4">
      <c r="C123" s="12"/>
      <c r="E123" s="12"/>
      <c r="F123" s="12"/>
      <c r="G123" s="12"/>
      <c r="H123" s="12"/>
      <c r="I123" s="12"/>
      <c r="J123" s="12"/>
      <c r="K123" s="12"/>
      <c r="L123" s="12"/>
      <c r="M123" s="31"/>
      <c r="N123" s="32"/>
      <c r="O123" s="32"/>
      <c r="P123" s="32"/>
      <c r="Q123" s="32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3"/>
      <c r="AQ123" s="3"/>
      <c r="AR123" s="33"/>
      <c r="AS123" s="3"/>
      <c r="AT123" s="3"/>
      <c r="AU123" s="3"/>
      <c r="AV123" s="3"/>
      <c r="AW123" s="41"/>
      <c r="AX123" s="41"/>
      <c r="AY123" s="3"/>
      <c r="BF123" s="42"/>
      <c r="BG123" s="42"/>
      <c r="BH123" s="42"/>
      <c r="BI123" s="42"/>
      <c r="BJ123" s="42"/>
      <c r="BK123" s="42"/>
      <c r="BL123" s="42"/>
      <c r="BM123" s="42"/>
      <c r="BN123" s="42"/>
      <c r="BO123" s="3"/>
      <c r="BP123" s="3"/>
      <c r="BQ123" s="3"/>
      <c r="BR123" s="3"/>
      <c r="BS123" s="42"/>
      <c r="BT123" s="42"/>
      <c r="BU123" s="42"/>
      <c r="BV123" s="42"/>
      <c r="BW123" s="42"/>
      <c r="BX123" s="42"/>
      <c r="BY123" s="42"/>
      <c r="BZ123" s="42"/>
      <c r="CA123" s="42"/>
      <c r="CB123" s="2"/>
      <c r="CC123" s="3"/>
      <c r="CD123" s="3"/>
      <c r="CE123" s="3"/>
      <c r="CF123" s="42"/>
      <c r="CG123" s="42"/>
      <c r="CH123" s="42"/>
      <c r="CI123" s="42"/>
      <c r="CJ123" s="42"/>
      <c r="CK123" s="42"/>
      <c r="CL123" s="42"/>
      <c r="CM123" s="42"/>
      <c r="CN123" s="42"/>
      <c r="CO123" s="3"/>
      <c r="CP123" s="3"/>
      <c r="CQ123" s="3"/>
      <c r="CR123" s="43"/>
      <c r="CS123" s="42"/>
      <c r="CT123" s="42"/>
      <c r="CU123" s="42"/>
      <c r="CV123" s="42"/>
      <c r="CW123" s="42"/>
      <c r="CX123" s="42"/>
      <c r="CY123" s="42"/>
      <c r="CZ123" s="42"/>
      <c r="DA123" s="42"/>
      <c r="DC123" s="13"/>
      <c r="DD123" s="13"/>
      <c r="DE123" s="13"/>
    </row>
    <row r="124" spans="3:109" x14ac:dyDescent="0.4">
      <c r="C124" s="12"/>
      <c r="E124" s="12"/>
      <c r="F124" s="12"/>
      <c r="G124" s="12"/>
      <c r="H124" s="12"/>
      <c r="I124" s="12"/>
      <c r="J124" s="12"/>
      <c r="K124" s="12"/>
      <c r="L124" s="12"/>
      <c r="M124" s="31"/>
      <c r="N124" s="32"/>
      <c r="O124" s="32"/>
      <c r="P124" s="32"/>
      <c r="Q124" s="32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3"/>
      <c r="AQ124" s="3"/>
      <c r="AR124" s="33"/>
      <c r="AS124" s="3"/>
      <c r="AT124" s="3"/>
      <c r="AU124" s="3"/>
      <c r="AV124" s="3"/>
      <c r="AW124" s="41"/>
      <c r="AX124" s="41"/>
      <c r="AY124" s="3"/>
      <c r="BF124" s="42"/>
      <c r="BG124" s="42"/>
      <c r="BH124" s="42"/>
      <c r="BI124" s="42"/>
      <c r="BJ124" s="42"/>
      <c r="BK124" s="42"/>
      <c r="BL124" s="42"/>
      <c r="BM124" s="42"/>
      <c r="BN124" s="42"/>
      <c r="BO124" s="3"/>
      <c r="BP124" s="3"/>
      <c r="BQ124" s="3"/>
      <c r="BR124" s="3"/>
      <c r="BS124" s="42"/>
      <c r="BT124" s="42"/>
      <c r="BU124" s="42"/>
      <c r="BV124" s="42"/>
      <c r="BW124" s="42"/>
      <c r="BX124" s="42"/>
      <c r="BY124" s="42"/>
      <c r="BZ124" s="42"/>
      <c r="CA124" s="42"/>
      <c r="CB124" s="2"/>
      <c r="CC124" s="3"/>
      <c r="CD124" s="3"/>
      <c r="CE124" s="3"/>
      <c r="CF124" s="42"/>
      <c r="CG124" s="42"/>
      <c r="CH124" s="42"/>
      <c r="CI124" s="42"/>
      <c r="CJ124" s="42"/>
      <c r="CK124" s="42"/>
      <c r="CL124" s="42"/>
      <c r="CM124" s="42"/>
      <c r="CN124" s="42"/>
      <c r="CO124" s="3"/>
      <c r="CP124" s="3"/>
      <c r="CQ124" s="3"/>
      <c r="CR124" s="43"/>
      <c r="CS124" s="42"/>
      <c r="CT124" s="42"/>
      <c r="CU124" s="42"/>
      <c r="CV124" s="42"/>
      <c r="CW124" s="42"/>
      <c r="CX124" s="42"/>
      <c r="CY124" s="42"/>
      <c r="CZ124" s="42"/>
      <c r="DA124" s="42"/>
      <c r="DC124" s="13"/>
      <c r="DD124" s="13"/>
      <c r="DE124" s="13"/>
    </row>
    <row r="125" spans="3:109" x14ac:dyDescent="0.4">
      <c r="C125" s="12"/>
      <c r="E125" s="12"/>
      <c r="F125" s="12"/>
      <c r="G125" s="12"/>
      <c r="H125" s="12"/>
      <c r="I125" s="12"/>
      <c r="J125" s="12"/>
      <c r="K125" s="12"/>
      <c r="L125" s="12"/>
      <c r="M125" s="31"/>
      <c r="N125" s="32"/>
      <c r="O125" s="32"/>
      <c r="P125" s="32"/>
      <c r="Q125" s="32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3"/>
      <c r="AQ125" s="3"/>
      <c r="AR125" s="33"/>
      <c r="AS125" s="3"/>
      <c r="AT125" s="3"/>
      <c r="AU125" s="3"/>
      <c r="AV125" s="3"/>
      <c r="AW125" s="41"/>
      <c r="AX125" s="41"/>
      <c r="AY125" s="3"/>
      <c r="BF125" s="42"/>
      <c r="BG125" s="42"/>
      <c r="BH125" s="42"/>
      <c r="BI125" s="42"/>
      <c r="BJ125" s="42"/>
      <c r="BK125" s="42"/>
      <c r="BL125" s="42"/>
      <c r="BM125" s="42"/>
      <c r="BN125" s="42"/>
      <c r="BO125" s="3"/>
      <c r="BP125" s="3"/>
      <c r="BQ125" s="3"/>
      <c r="BR125" s="3"/>
      <c r="BS125" s="42"/>
      <c r="BT125" s="42"/>
      <c r="BU125" s="42"/>
      <c r="BV125" s="42"/>
      <c r="BW125" s="42"/>
      <c r="BX125" s="42"/>
      <c r="BY125" s="42"/>
      <c r="BZ125" s="42"/>
      <c r="CA125" s="42"/>
      <c r="CB125" s="2"/>
      <c r="CC125" s="3"/>
      <c r="CD125" s="3"/>
      <c r="CE125" s="3"/>
      <c r="CF125" s="42"/>
      <c r="CG125" s="42"/>
      <c r="CH125" s="42"/>
      <c r="CI125" s="42"/>
      <c r="CJ125" s="42"/>
      <c r="CK125" s="42"/>
      <c r="CL125" s="42"/>
      <c r="CM125" s="42"/>
      <c r="CN125" s="42"/>
      <c r="CO125" s="3"/>
      <c r="CP125" s="3"/>
      <c r="CQ125" s="3"/>
      <c r="CR125" s="43"/>
      <c r="CS125" s="42"/>
      <c r="CT125" s="42"/>
      <c r="CU125" s="42"/>
      <c r="CV125" s="42"/>
      <c r="CW125" s="42"/>
      <c r="CX125" s="42"/>
      <c r="CY125" s="42"/>
      <c r="CZ125" s="42"/>
      <c r="DA125" s="42"/>
      <c r="DC125" s="13"/>
      <c r="DD125" s="13"/>
      <c r="DE125" s="13"/>
    </row>
    <row r="126" spans="3:109" x14ac:dyDescent="0.4">
      <c r="C126" s="12"/>
      <c r="E126" s="12"/>
      <c r="F126" s="12"/>
      <c r="G126" s="12"/>
      <c r="H126" s="12"/>
      <c r="I126" s="12"/>
      <c r="J126" s="12"/>
      <c r="K126" s="12"/>
      <c r="L126" s="12"/>
      <c r="M126" s="31"/>
      <c r="N126" s="32"/>
      <c r="O126" s="32"/>
      <c r="P126" s="32"/>
      <c r="Q126" s="32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3"/>
      <c r="AQ126" s="3"/>
      <c r="AR126" s="33"/>
      <c r="AS126" s="3"/>
      <c r="AT126" s="3"/>
      <c r="AU126" s="3"/>
      <c r="AV126" s="3"/>
      <c r="AW126" s="41"/>
      <c r="AX126" s="41"/>
      <c r="AY126" s="3"/>
      <c r="BF126" s="42"/>
      <c r="BG126" s="42"/>
      <c r="BH126" s="42"/>
      <c r="BI126" s="42"/>
      <c r="BJ126" s="42"/>
      <c r="BK126" s="42"/>
      <c r="BL126" s="42"/>
      <c r="BM126" s="42"/>
      <c r="BN126" s="42"/>
      <c r="BO126" s="3"/>
      <c r="BP126" s="3"/>
      <c r="BQ126" s="3"/>
      <c r="BR126" s="3"/>
      <c r="BS126" s="42"/>
      <c r="BT126" s="42"/>
      <c r="BU126" s="42"/>
      <c r="BV126" s="42"/>
      <c r="BW126" s="42"/>
      <c r="BX126" s="42"/>
      <c r="BY126" s="42"/>
      <c r="BZ126" s="42"/>
      <c r="CA126" s="42"/>
      <c r="CB126" s="2"/>
      <c r="CC126" s="3"/>
      <c r="CD126" s="3"/>
      <c r="CE126" s="3"/>
      <c r="CF126" s="42"/>
      <c r="CG126" s="42"/>
      <c r="CH126" s="42"/>
      <c r="CI126" s="42"/>
      <c r="CJ126" s="42"/>
      <c r="CK126" s="42"/>
      <c r="CL126" s="42"/>
      <c r="CM126" s="42"/>
      <c r="CN126" s="42"/>
      <c r="CO126" s="3"/>
      <c r="CP126" s="3"/>
      <c r="CQ126" s="3"/>
      <c r="CR126" s="43"/>
      <c r="CS126" s="42"/>
      <c r="CT126" s="42"/>
      <c r="CU126" s="42"/>
      <c r="CV126" s="42"/>
      <c r="CW126" s="42"/>
      <c r="CX126" s="42"/>
      <c r="CY126" s="42"/>
      <c r="CZ126" s="42"/>
      <c r="DA126" s="42"/>
      <c r="DC126" s="13"/>
      <c r="DD126" s="13"/>
      <c r="DE126" s="13"/>
    </row>
    <row r="127" spans="3:109" x14ac:dyDescent="0.4">
      <c r="C127" s="12"/>
      <c r="E127" s="12"/>
      <c r="F127" s="12"/>
      <c r="G127" s="12"/>
      <c r="H127" s="12"/>
      <c r="I127" s="12"/>
      <c r="J127" s="12"/>
      <c r="K127" s="12"/>
      <c r="L127" s="12"/>
      <c r="M127" s="31"/>
      <c r="N127" s="32"/>
      <c r="O127" s="32"/>
      <c r="P127" s="32"/>
      <c r="Q127" s="32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3"/>
      <c r="AQ127" s="3"/>
      <c r="AR127" s="33"/>
      <c r="AS127" s="3"/>
      <c r="AT127" s="3"/>
      <c r="AU127" s="3"/>
      <c r="AV127" s="3"/>
      <c r="AW127" s="41"/>
      <c r="AX127" s="41"/>
      <c r="AY127" s="3"/>
      <c r="BF127" s="42"/>
      <c r="BG127" s="42"/>
      <c r="BH127" s="42"/>
      <c r="BI127" s="42"/>
      <c r="BJ127" s="42"/>
      <c r="BK127" s="42"/>
      <c r="BL127" s="42"/>
      <c r="BM127" s="42"/>
      <c r="BN127" s="42"/>
      <c r="BO127" s="3"/>
      <c r="BP127" s="3"/>
      <c r="BQ127" s="3"/>
      <c r="BR127" s="3"/>
      <c r="BS127" s="42"/>
      <c r="BT127" s="42"/>
      <c r="BU127" s="42"/>
      <c r="BV127" s="42"/>
      <c r="BW127" s="42"/>
      <c r="BX127" s="42"/>
      <c r="BY127" s="42"/>
      <c r="BZ127" s="42"/>
      <c r="CA127" s="42"/>
      <c r="CB127" s="2"/>
      <c r="CC127" s="3"/>
      <c r="CD127" s="3"/>
      <c r="CE127" s="3"/>
      <c r="CF127" s="42"/>
      <c r="CG127" s="42"/>
      <c r="CH127" s="42"/>
      <c r="CI127" s="42"/>
      <c r="CJ127" s="42"/>
      <c r="CK127" s="42"/>
      <c r="CL127" s="42"/>
      <c r="CM127" s="42"/>
      <c r="CN127" s="42"/>
      <c r="CO127" s="3"/>
      <c r="CP127" s="3"/>
      <c r="CQ127" s="3"/>
      <c r="CR127" s="43"/>
      <c r="CS127" s="42"/>
      <c r="CT127" s="42"/>
      <c r="CU127" s="42"/>
      <c r="CV127" s="42"/>
      <c r="CW127" s="42"/>
      <c r="CX127" s="42"/>
      <c r="CY127" s="42"/>
      <c r="CZ127" s="42"/>
      <c r="DA127" s="42"/>
      <c r="DC127" s="13"/>
      <c r="DD127" s="13"/>
      <c r="DE127" s="13"/>
    </row>
    <row r="128" spans="3:109" x14ac:dyDescent="0.4">
      <c r="C128" s="12"/>
      <c r="E128" s="12"/>
      <c r="F128" s="12"/>
      <c r="G128" s="12"/>
      <c r="H128" s="12"/>
      <c r="I128" s="12"/>
      <c r="J128" s="12"/>
      <c r="K128" s="12"/>
      <c r="L128" s="12"/>
      <c r="M128" s="31"/>
      <c r="N128" s="32"/>
      <c r="O128" s="32"/>
      <c r="P128" s="32"/>
      <c r="Q128" s="32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3"/>
      <c r="AQ128" s="3"/>
      <c r="AR128" s="33"/>
      <c r="AS128" s="3"/>
      <c r="AT128" s="3"/>
      <c r="AU128" s="3"/>
      <c r="AV128" s="3"/>
      <c r="AW128" s="41"/>
      <c r="AX128" s="41"/>
      <c r="AY128" s="3"/>
      <c r="BF128" s="42"/>
      <c r="BG128" s="42"/>
      <c r="BH128" s="42"/>
      <c r="BI128" s="42"/>
      <c r="BJ128" s="42"/>
      <c r="BK128" s="42"/>
      <c r="BL128" s="42"/>
      <c r="BM128" s="42"/>
      <c r="BN128" s="42"/>
      <c r="BO128" s="3"/>
      <c r="BP128" s="3"/>
      <c r="BQ128" s="3"/>
      <c r="BR128" s="3"/>
      <c r="BS128" s="42"/>
      <c r="BT128" s="42"/>
      <c r="BU128" s="42"/>
      <c r="BV128" s="42"/>
      <c r="BW128" s="42"/>
      <c r="BX128" s="42"/>
      <c r="BY128" s="42"/>
      <c r="BZ128" s="42"/>
      <c r="CA128" s="42"/>
      <c r="CB128" s="2"/>
      <c r="CC128" s="3"/>
      <c r="CD128" s="3"/>
      <c r="CE128" s="3"/>
      <c r="CF128" s="42"/>
      <c r="CG128" s="42"/>
      <c r="CH128" s="42"/>
      <c r="CI128" s="42"/>
      <c r="CJ128" s="42"/>
      <c r="CK128" s="42"/>
      <c r="CL128" s="42"/>
      <c r="CM128" s="42"/>
      <c r="CN128" s="42"/>
      <c r="CO128" s="3"/>
      <c r="CP128" s="3"/>
      <c r="CQ128" s="3"/>
      <c r="CR128" s="43"/>
      <c r="CS128" s="42"/>
      <c r="CT128" s="42"/>
      <c r="CU128" s="42"/>
      <c r="CV128" s="42"/>
      <c r="CW128" s="42"/>
      <c r="CX128" s="42"/>
      <c r="CY128" s="42"/>
      <c r="CZ128" s="42"/>
      <c r="DA128" s="42"/>
      <c r="DC128" s="13"/>
      <c r="DD128" s="13"/>
      <c r="DE128" s="13"/>
    </row>
    <row r="129" spans="3:109" x14ac:dyDescent="0.4">
      <c r="C129" s="12"/>
      <c r="E129" s="12"/>
      <c r="F129" s="12"/>
      <c r="G129" s="12"/>
      <c r="H129" s="12"/>
      <c r="I129" s="12"/>
      <c r="J129" s="12"/>
      <c r="K129" s="12"/>
      <c r="L129" s="12"/>
      <c r="M129" s="31"/>
      <c r="N129" s="32"/>
      <c r="O129" s="32"/>
      <c r="P129" s="32"/>
      <c r="Q129" s="32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3"/>
      <c r="AQ129" s="3"/>
      <c r="AR129" s="33"/>
      <c r="AS129" s="3"/>
      <c r="AT129" s="3"/>
      <c r="AU129" s="3"/>
      <c r="AV129" s="3"/>
      <c r="AW129" s="41"/>
      <c r="AX129" s="41"/>
      <c r="AY129" s="3"/>
      <c r="BF129" s="42"/>
      <c r="BG129" s="42"/>
      <c r="BH129" s="42"/>
      <c r="BI129" s="42"/>
      <c r="BJ129" s="42"/>
      <c r="BK129" s="42"/>
      <c r="BL129" s="42"/>
      <c r="BM129" s="42"/>
      <c r="BN129" s="42"/>
      <c r="BO129" s="3"/>
      <c r="BP129" s="3"/>
      <c r="BQ129" s="3"/>
      <c r="BR129" s="3"/>
      <c r="BS129" s="42"/>
      <c r="BT129" s="42"/>
      <c r="BU129" s="42"/>
      <c r="BV129" s="42"/>
      <c r="BW129" s="42"/>
      <c r="BX129" s="42"/>
      <c r="BY129" s="42"/>
      <c r="BZ129" s="42"/>
      <c r="CA129" s="42"/>
      <c r="CB129" s="2"/>
      <c r="CC129" s="3"/>
      <c r="CD129" s="3"/>
      <c r="CE129" s="3"/>
      <c r="CF129" s="42"/>
      <c r="CG129" s="42"/>
      <c r="CH129" s="42"/>
      <c r="CI129" s="42"/>
      <c r="CJ129" s="42"/>
      <c r="CK129" s="42"/>
      <c r="CL129" s="42"/>
      <c r="CM129" s="42"/>
      <c r="CN129" s="42"/>
      <c r="CO129" s="3"/>
      <c r="CP129" s="3"/>
      <c r="CQ129" s="3"/>
      <c r="CR129" s="43"/>
      <c r="CS129" s="42"/>
      <c r="CT129" s="42"/>
      <c r="CU129" s="42"/>
      <c r="CV129" s="42"/>
      <c r="CW129" s="42"/>
      <c r="CX129" s="42"/>
      <c r="CY129" s="42"/>
      <c r="CZ129" s="42"/>
      <c r="DA129" s="42"/>
      <c r="DC129" s="13"/>
      <c r="DD129" s="13"/>
      <c r="DE129" s="13"/>
    </row>
    <row r="130" spans="3:109" x14ac:dyDescent="0.4">
      <c r="C130" s="12"/>
      <c r="E130" s="12"/>
      <c r="F130" s="12"/>
      <c r="G130" s="12"/>
      <c r="H130" s="12"/>
      <c r="I130" s="12"/>
      <c r="J130" s="12"/>
      <c r="K130" s="12"/>
      <c r="L130" s="12"/>
      <c r="M130" s="31"/>
      <c r="N130" s="32"/>
      <c r="O130" s="32"/>
      <c r="P130" s="32"/>
      <c r="Q130" s="32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3"/>
      <c r="AQ130" s="3"/>
      <c r="AR130" s="33"/>
      <c r="AS130" s="3"/>
      <c r="AT130" s="3"/>
      <c r="AU130" s="3"/>
      <c r="AV130" s="3"/>
      <c r="AW130" s="41"/>
      <c r="AX130" s="41"/>
      <c r="AY130" s="3"/>
      <c r="BF130" s="42"/>
      <c r="BG130" s="42"/>
      <c r="BH130" s="42"/>
      <c r="BI130" s="42"/>
      <c r="BJ130" s="42"/>
      <c r="BK130" s="42"/>
      <c r="BL130" s="42"/>
      <c r="BM130" s="42"/>
      <c r="BN130" s="42"/>
      <c r="BO130" s="3"/>
      <c r="BP130" s="3"/>
      <c r="BQ130" s="3"/>
      <c r="BR130" s="3"/>
      <c r="BS130" s="42"/>
      <c r="BT130" s="42"/>
      <c r="BU130" s="42"/>
      <c r="BV130" s="42"/>
      <c r="BW130" s="42"/>
      <c r="BX130" s="42"/>
      <c r="BY130" s="42"/>
      <c r="BZ130" s="42"/>
      <c r="CA130" s="42"/>
      <c r="CB130" s="2"/>
      <c r="CC130" s="3"/>
      <c r="CD130" s="3"/>
      <c r="CE130" s="3"/>
      <c r="CF130" s="42"/>
      <c r="CG130" s="42"/>
      <c r="CH130" s="42"/>
      <c r="CI130" s="42"/>
      <c r="CJ130" s="42"/>
      <c r="CK130" s="42"/>
      <c r="CL130" s="42"/>
      <c r="CM130" s="42"/>
      <c r="CN130" s="42"/>
      <c r="CO130" s="3"/>
      <c r="CP130" s="3"/>
      <c r="CQ130" s="3"/>
      <c r="CR130" s="43"/>
      <c r="CS130" s="42"/>
      <c r="CT130" s="42"/>
      <c r="CU130" s="42"/>
      <c r="CV130" s="42"/>
      <c r="CW130" s="42"/>
      <c r="CX130" s="42"/>
      <c r="CY130" s="42"/>
      <c r="CZ130" s="42"/>
      <c r="DA130" s="42"/>
      <c r="DC130" s="13"/>
      <c r="DD130" s="13"/>
      <c r="DE130" s="13"/>
    </row>
    <row r="131" spans="3:109" x14ac:dyDescent="0.4">
      <c r="C131" s="12"/>
      <c r="E131" s="12"/>
      <c r="F131" s="12"/>
      <c r="G131" s="12"/>
      <c r="H131" s="12"/>
      <c r="I131" s="12"/>
      <c r="J131" s="12"/>
      <c r="K131" s="12"/>
      <c r="L131" s="12"/>
      <c r="M131" s="31"/>
      <c r="N131" s="32"/>
      <c r="O131" s="32"/>
      <c r="P131" s="32"/>
      <c r="Q131" s="32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3"/>
      <c r="AQ131" s="3"/>
      <c r="AR131" s="33"/>
      <c r="AS131" s="3"/>
      <c r="AT131" s="3"/>
      <c r="AU131" s="3"/>
      <c r="AV131" s="3"/>
      <c r="AW131" s="41"/>
      <c r="AX131" s="41"/>
      <c r="AY131" s="3"/>
      <c r="BF131" s="42"/>
      <c r="BG131" s="42"/>
      <c r="BH131" s="42"/>
      <c r="BI131" s="42"/>
      <c r="BJ131" s="42"/>
      <c r="BK131" s="42"/>
      <c r="BL131" s="42"/>
      <c r="BM131" s="42"/>
      <c r="BN131" s="42"/>
      <c r="BO131" s="3"/>
      <c r="BP131" s="3"/>
      <c r="BQ131" s="3"/>
      <c r="BR131" s="3"/>
      <c r="BS131" s="42"/>
      <c r="BT131" s="42"/>
      <c r="BU131" s="42"/>
      <c r="BV131" s="42"/>
      <c r="BW131" s="42"/>
      <c r="BX131" s="42"/>
      <c r="BY131" s="42"/>
      <c r="BZ131" s="42"/>
      <c r="CA131" s="42"/>
      <c r="CB131" s="2"/>
      <c r="CC131" s="3"/>
      <c r="CD131" s="3"/>
      <c r="CE131" s="3"/>
      <c r="CF131" s="42"/>
      <c r="CG131" s="42"/>
      <c r="CH131" s="42"/>
      <c r="CI131" s="42"/>
      <c r="CJ131" s="42"/>
      <c r="CK131" s="42"/>
      <c r="CL131" s="42"/>
      <c r="CM131" s="42"/>
      <c r="CN131" s="42"/>
      <c r="CO131" s="3"/>
      <c r="CP131" s="3"/>
      <c r="CQ131" s="3"/>
      <c r="CR131" s="43"/>
      <c r="CS131" s="42"/>
      <c r="CT131" s="42"/>
      <c r="CU131" s="42"/>
      <c r="CV131" s="42"/>
      <c r="CW131" s="42"/>
      <c r="CX131" s="42"/>
      <c r="CY131" s="42"/>
      <c r="CZ131" s="42"/>
      <c r="DA131" s="42"/>
      <c r="DC131" s="13"/>
      <c r="DD131" s="13"/>
      <c r="DE131" s="13"/>
    </row>
    <row r="132" spans="3:109" x14ac:dyDescent="0.4">
      <c r="C132" s="12"/>
      <c r="E132" s="12"/>
      <c r="F132" s="12"/>
      <c r="G132" s="12"/>
      <c r="H132" s="12"/>
      <c r="I132" s="12"/>
      <c r="J132" s="12"/>
      <c r="K132" s="12"/>
      <c r="L132" s="12"/>
      <c r="M132" s="31"/>
      <c r="N132" s="32"/>
      <c r="O132" s="32"/>
      <c r="P132" s="32"/>
      <c r="Q132" s="32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3"/>
      <c r="AQ132" s="3"/>
      <c r="AR132" s="33"/>
      <c r="AS132" s="3"/>
      <c r="AT132" s="3"/>
      <c r="AU132" s="3"/>
      <c r="AV132" s="3"/>
      <c r="AW132" s="41"/>
      <c r="AX132" s="41"/>
      <c r="AY132" s="3"/>
      <c r="BF132" s="42"/>
      <c r="BG132" s="42"/>
      <c r="BH132" s="42"/>
      <c r="BI132" s="42"/>
      <c r="BJ132" s="42"/>
      <c r="BK132" s="42"/>
      <c r="BL132" s="42"/>
      <c r="BM132" s="42"/>
      <c r="BN132" s="42"/>
      <c r="BO132" s="3"/>
      <c r="BP132" s="3"/>
      <c r="BQ132" s="3"/>
      <c r="BR132" s="3"/>
      <c r="BS132" s="42"/>
      <c r="BT132" s="42"/>
      <c r="BU132" s="42"/>
      <c r="BV132" s="42"/>
      <c r="BW132" s="42"/>
      <c r="BX132" s="42"/>
      <c r="BY132" s="42"/>
      <c r="BZ132" s="42"/>
      <c r="CA132" s="42"/>
      <c r="CB132" s="2"/>
      <c r="CC132" s="3"/>
      <c r="CD132" s="3"/>
      <c r="CE132" s="3"/>
      <c r="CF132" s="42"/>
      <c r="CG132" s="42"/>
      <c r="CH132" s="42"/>
      <c r="CI132" s="42"/>
      <c r="CJ132" s="42"/>
      <c r="CK132" s="42"/>
      <c r="CL132" s="42"/>
      <c r="CM132" s="42"/>
      <c r="CN132" s="42"/>
      <c r="CO132" s="3"/>
      <c r="CP132" s="3"/>
      <c r="CQ132" s="3"/>
      <c r="CR132" s="43"/>
      <c r="CS132" s="42"/>
      <c r="CT132" s="42"/>
      <c r="CU132" s="42"/>
      <c r="CV132" s="42"/>
      <c r="CW132" s="42"/>
      <c r="CX132" s="42"/>
      <c r="CY132" s="42"/>
      <c r="CZ132" s="42"/>
      <c r="DA132" s="42"/>
      <c r="DC132" s="13"/>
      <c r="DD132" s="13"/>
      <c r="DE132" s="13"/>
    </row>
    <row r="133" spans="3:109" x14ac:dyDescent="0.4">
      <c r="C133" s="12"/>
      <c r="E133" s="12"/>
      <c r="F133" s="12"/>
      <c r="G133" s="12"/>
      <c r="H133" s="12"/>
      <c r="I133" s="12"/>
      <c r="J133" s="12"/>
      <c r="K133" s="12"/>
      <c r="L133" s="12"/>
      <c r="M133" s="31"/>
      <c r="N133" s="32"/>
      <c r="O133" s="32"/>
      <c r="P133" s="32"/>
      <c r="Q133" s="32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3"/>
      <c r="AQ133" s="3"/>
      <c r="AR133" s="33"/>
      <c r="AS133" s="3"/>
      <c r="AT133" s="3"/>
      <c r="AU133" s="3"/>
      <c r="AV133" s="3"/>
      <c r="AW133" s="41"/>
      <c r="AX133" s="41"/>
      <c r="AY133" s="3"/>
      <c r="BF133" s="42"/>
      <c r="BG133" s="42"/>
      <c r="BH133" s="42"/>
      <c r="BI133" s="42"/>
      <c r="BJ133" s="42"/>
      <c r="BK133" s="42"/>
      <c r="BL133" s="42"/>
      <c r="BM133" s="42"/>
      <c r="BN133" s="42"/>
      <c r="BO133" s="3"/>
      <c r="BP133" s="3"/>
      <c r="BQ133" s="3"/>
      <c r="BR133" s="3"/>
      <c r="BS133" s="42"/>
      <c r="BT133" s="42"/>
      <c r="BU133" s="42"/>
      <c r="BV133" s="42"/>
      <c r="BW133" s="42"/>
      <c r="BX133" s="42"/>
      <c r="BY133" s="42"/>
      <c r="BZ133" s="42"/>
      <c r="CA133" s="42"/>
      <c r="CB133" s="2"/>
      <c r="CC133" s="3"/>
      <c r="CD133" s="3"/>
      <c r="CE133" s="3"/>
      <c r="CF133" s="42"/>
      <c r="CG133" s="42"/>
      <c r="CH133" s="42"/>
      <c r="CI133" s="42"/>
      <c r="CJ133" s="42"/>
      <c r="CK133" s="42"/>
      <c r="CL133" s="42"/>
      <c r="CM133" s="42"/>
      <c r="CN133" s="42"/>
      <c r="CO133" s="3"/>
      <c r="CP133" s="3"/>
      <c r="CQ133" s="3"/>
      <c r="CR133" s="43"/>
      <c r="CS133" s="42"/>
      <c r="CT133" s="42"/>
      <c r="CU133" s="42"/>
      <c r="CV133" s="42"/>
      <c r="CW133" s="42"/>
      <c r="CX133" s="42"/>
      <c r="CY133" s="42"/>
      <c r="CZ133" s="42"/>
      <c r="DA133" s="42"/>
      <c r="DC133" s="13"/>
      <c r="DD133" s="13"/>
      <c r="DE133" s="13"/>
    </row>
    <row r="134" spans="3:109" x14ac:dyDescent="0.4">
      <c r="C134" s="12"/>
      <c r="E134" s="12"/>
      <c r="F134" s="12"/>
      <c r="G134" s="12"/>
      <c r="H134" s="12"/>
      <c r="I134" s="12"/>
      <c r="J134" s="12"/>
      <c r="K134" s="12"/>
      <c r="L134" s="12"/>
      <c r="M134" s="31"/>
      <c r="N134" s="32"/>
      <c r="O134" s="32"/>
      <c r="P134" s="32"/>
      <c r="Q134" s="32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3"/>
      <c r="AQ134" s="3"/>
      <c r="AR134" s="33"/>
      <c r="AS134" s="3"/>
      <c r="AT134" s="3"/>
      <c r="AU134" s="3"/>
      <c r="AV134" s="3"/>
      <c r="AW134" s="41"/>
      <c r="AX134" s="41"/>
      <c r="AY134" s="3"/>
      <c r="BF134" s="42"/>
      <c r="BG134" s="42"/>
      <c r="BH134" s="42"/>
      <c r="BI134" s="42"/>
      <c r="BJ134" s="42"/>
      <c r="BK134" s="42"/>
      <c r="BL134" s="42"/>
      <c r="BM134" s="42"/>
      <c r="BN134" s="42"/>
      <c r="BO134" s="3"/>
      <c r="BP134" s="3"/>
      <c r="BQ134" s="3"/>
      <c r="BR134" s="3"/>
      <c r="BS134" s="42"/>
      <c r="BT134" s="42"/>
      <c r="BU134" s="42"/>
      <c r="BV134" s="42"/>
      <c r="BW134" s="42"/>
      <c r="BX134" s="42"/>
      <c r="BY134" s="42"/>
      <c r="BZ134" s="42"/>
      <c r="CA134" s="42"/>
      <c r="CB134" s="2"/>
      <c r="CC134" s="3"/>
      <c r="CD134" s="3"/>
      <c r="CE134" s="3"/>
      <c r="CF134" s="42"/>
      <c r="CG134" s="42"/>
      <c r="CH134" s="42"/>
      <c r="CI134" s="42"/>
      <c r="CJ134" s="42"/>
      <c r="CK134" s="42"/>
      <c r="CL134" s="42"/>
      <c r="CM134" s="42"/>
      <c r="CN134" s="42"/>
      <c r="CO134" s="3"/>
      <c r="CP134" s="3"/>
      <c r="CQ134" s="3"/>
      <c r="CR134" s="43"/>
      <c r="CS134" s="42"/>
      <c r="CT134" s="42"/>
      <c r="CU134" s="42"/>
      <c r="CV134" s="42"/>
      <c r="CW134" s="42"/>
      <c r="CX134" s="42"/>
      <c r="CY134" s="42"/>
      <c r="CZ134" s="42"/>
      <c r="DA134" s="42"/>
      <c r="DC134" s="13"/>
      <c r="DD134" s="13"/>
      <c r="DE134" s="13"/>
    </row>
    <row r="135" spans="3:109" x14ac:dyDescent="0.4">
      <c r="C135" s="12"/>
      <c r="E135" s="12"/>
      <c r="F135" s="12"/>
      <c r="G135" s="12"/>
      <c r="H135" s="12"/>
      <c r="I135" s="12"/>
      <c r="J135" s="12"/>
      <c r="K135" s="12"/>
      <c r="L135" s="12"/>
      <c r="M135" s="31"/>
      <c r="N135" s="32"/>
      <c r="O135" s="32"/>
      <c r="P135" s="32"/>
      <c r="Q135" s="32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3"/>
      <c r="AQ135" s="3"/>
      <c r="AR135" s="33"/>
      <c r="AS135" s="3"/>
      <c r="AT135" s="3"/>
      <c r="AU135" s="3"/>
      <c r="AV135" s="3"/>
      <c r="AW135" s="41"/>
      <c r="AX135" s="41"/>
      <c r="AY135" s="3"/>
      <c r="BF135" s="42"/>
      <c r="BG135" s="42"/>
      <c r="BH135" s="42"/>
      <c r="BI135" s="42"/>
      <c r="BJ135" s="42"/>
      <c r="BK135" s="42"/>
      <c r="BL135" s="42"/>
      <c r="BM135" s="42"/>
      <c r="BN135" s="42"/>
      <c r="BO135" s="3"/>
      <c r="BP135" s="3"/>
      <c r="BQ135" s="3"/>
      <c r="BR135" s="3"/>
      <c r="BS135" s="42"/>
      <c r="BT135" s="42"/>
      <c r="BU135" s="42"/>
      <c r="BV135" s="42"/>
      <c r="BW135" s="42"/>
      <c r="BX135" s="42"/>
      <c r="BY135" s="42"/>
      <c r="BZ135" s="42"/>
      <c r="CA135" s="42"/>
      <c r="CB135" s="2"/>
      <c r="CC135" s="3"/>
      <c r="CD135" s="3"/>
      <c r="CE135" s="3"/>
      <c r="CF135" s="42"/>
      <c r="CG135" s="42"/>
      <c r="CH135" s="42"/>
      <c r="CI135" s="42"/>
      <c r="CJ135" s="42"/>
      <c r="CK135" s="42"/>
      <c r="CL135" s="42"/>
      <c r="CM135" s="42"/>
      <c r="CN135" s="42"/>
      <c r="CO135" s="3"/>
      <c r="CP135" s="3"/>
      <c r="CQ135" s="3"/>
      <c r="CR135" s="43"/>
      <c r="CS135" s="42"/>
      <c r="CT135" s="42"/>
      <c r="CU135" s="42"/>
      <c r="CV135" s="42"/>
      <c r="CW135" s="42"/>
      <c r="CX135" s="42"/>
      <c r="CY135" s="42"/>
      <c r="CZ135" s="42"/>
      <c r="DA135" s="42"/>
      <c r="DC135" s="13"/>
      <c r="DD135" s="13"/>
      <c r="DE135" s="13"/>
    </row>
    <row r="136" spans="3:109" x14ac:dyDescent="0.4">
      <c r="C136" s="12"/>
      <c r="E136" s="12"/>
      <c r="F136" s="12"/>
      <c r="G136" s="12"/>
      <c r="H136" s="12"/>
      <c r="I136" s="12"/>
      <c r="J136" s="12"/>
      <c r="K136" s="12"/>
      <c r="L136" s="12"/>
      <c r="M136" s="31"/>
      <c r="N136" s="32"/>
      <c r="O136" s="32"/>
      <c r="P136" s="32"/>
      <c r="Q136" s="32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3"/>
      <c r="AQ136" s="3"/>
      <c r="AR136" s="33"/>
      <c r="AS136" s="3"/>
      <c r="AT136" s="3"/>
      <c r="AU136" s="3"/>
      <c r="AV136" s="3"/>
      <c r="AW136" s="41"/>
      <c r="AX136" s="41"/>
      <c r="AY136" s="3"/>
      <c r="BF136" s="42"/>
      <c r="BG136" s="42"/>
      <c r="BH136" s="42"/>
      <c r="BI136" s="42"/>
      <c r="BJ136" s="42"/>
      <c r="BK136" s="42"/>
      <c r="BL136" s="42"/>
      <c r="BM136" s="42"/>
      <c r="BN136" s="42"/>
      <c r="BO136" s="3"/>
      <c r="BP136" s="3"/>
      <c r="BQ136" s="3"/>
      <c r="BR136" s="3"/>
      <c r="BS136" s="42"/>
      <c r="BT136" s="42"/>
      <c r="BU136" s="42"/>
      <c r="BV136" s="42"/>
      <c r="BW136" s="42"/>
      <c r="BX136" s="42"/>
      <c r="BY136" s="42"/>
      <c r="BZ136" s="42"/>
      <c r="CA136" s="42"/>
      <c r="CB136" s="2"/>
      <c r="CC136" s="3"/>
      <c r="CD136" s="3"/>
      <c r="CE136" s="3"/>
      <c r="CF136" s="42"/>
      <c r="CG136" s="42"/>
      <c r="CH136" s="42"/>
      <c r="CI136" s="42"/>
      <c r="CJ136" s="42"/>
      <c r="CK136" s="42"/>
      <c r="CL136" s="42"/>
      <c r="CM136" s="42"/>
      <c r="CN136" s="42"/>
      <c r="CO136" s="3"/>
      <c r="CP136" s="3"/>
      <c r="CQ136" s="3"/>
      <c r="CR136" s="43"/>
      <c r="CS136" s="42"/>
      <c r="CT136" s="42"/>
      <c r="CU136" s="42"/>
      <c r="CV136" s="42"/>
      <c r="CW136" s="42"/>
      <c r="CX136" s="42"/>
      <c r="CY136" s="42"/>
      <c r="CZ136" s="42"/>
      <c r="DA136" s="42"/>
      <c r="DC136" s="13"/>
      <c r="DD136" s="13"/>
      <c r="DE136" s="13"/>
    </row>
    <row r="137" spans="3:109" x14ac:dyDescent="0.4">
      <c r="C137" s="12"/>
      <c r="E137" s="12"/>
      <c r="F137" s="12"/>
      <c r="G137" s="12"/>
      <c r="H137" s="12"/>
      <c r="I137" s="12"/>
      <c r="J137" s="12"/>
      <c r="K137" s="12"/>
      <c r="L137" s="12"/>
      <c r="M137" s="31"/>
      <c r="N137" s="32"/>
      <c r="O137" s="32"/>
      <c r="P137" s="32"/>
      <c r="Q137" s="32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3"/>
      <c r="AQ137" s="3"/>
      <c r="AR137" s="33"/>
      <c r="AS137" s="3"/>
      <c r="AT137" s="3"/>
      <c r="AU137" s="3"/>
      <c r="AV137" s="3"/>
      <c r="AW137" s="41"/>
      <c r="AX137" s="41"/>
      <c r="AY137" s="3"/>
      <c r="BF137" s="42"/>
      <c r="BG137" s="42"/>
      <c r="BH137" s="42"/>
      <c r="BI137" s="42"/>
      <c r="BJ137" s="42"/>
      <c r="BK137" s="42"/>
      <c r="BL137" s="42"/>
      <c r="BM137" s="42"/>
      <c r="BN137" s="42"/>
      <c r="BO137" s="3"/>
      <c r="BP137" s="3"/>
      <c r="BQ137" s="3"/>
      <c r="BR137" s="3"/>
      <c r="BS137" s="42"/>
      <c r="BT137" s="42"/>
      <c r="BU137" s="42"/>
      <c r="BV137" s="42"/>
      <c r="BW137" s="42"/>
      <c r="BX137" s="42"/>
      <c r="BY137" s="42"/>
      <c r="BZ137" s="42"/>
      <c r="CA137" s="42"/>
      <c r="CB137" s="2"/>
      <c r="CC137" s="3"/>
      <c r="CD137" s="3"/>
      <c r="CE137" s="3"/>
      <c r="CF137" s="42"/>
      <c r="CG137" s="42"/>
      <c r="CH137" s="42"/>
      <c r="CI137" s="42"/>
      <c r="CJ137" s="42"/>
      <c r="CK137" s="42"/>
      <c r="CL137" s="42"/>
      <c r="CM137" s="42"/>
      <c r="CN137" s="42"/>
      <c r="CO137" s="3"/>
      <c r="CP137" s="3"/>
      <c r="CQ137" s="3"/>
      <c r="CR137" s="43"/>
      <c r="CS137" s="42"/>
      <c r="CT137" s="42"/>
      <c r="CU137" s="42"/>
      <c r="CV137" s="42"/>
      <c r="CW137" s="42"/>
      <c r="CX137" s="42"/>
      <c r="CY137" s="42"/>
      <c r="CZ137" s="42"/>
      <c r="DA137" s="42"/>
      <c r="DC137" s="13"/>
      <c r="DD137" s="13"/>
      <c r="DE137" s="13"/>
    </row>
    <row r="138" spans="3:109" x14ac:dyDescent="0.4">
      <c r="C138" s="12"/>
      <c r="E138" s="12"/>
      <c r="F138" s="12"/>
      <c r="G138" s="12"/>
      <c r="H138" s="12"/>
      <c r="I138" s="12"/>
      <c r="J138" s="12"/>
      <c r="K138" s="12"/>
      <c r="L138" s="12"/>
      <c r="M138" s="31"/>
      <c r="N138" s="32"/>
      <c r="O138" s="32"/>
      <c r="P138" s="32"/>
      <c r="Q138" s="32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3"/>
      <c r="AQ138" s="3"/>
      <c r="AR138" s="33"/>
      <c r="AS138" s="3"/>
      <c r="AT138" s="3"/>
      <c r="AU138" s="3"/>
      <c r="AV138" s="3"/>
      <c r="AW138" s="41"/>
      <c r="AX138" s="41"/>
      <c r="AY138" s="3"/>
      <c r="BF138" s="42"/>
      <c r="BG138" s="42"/>
      <c r="BH138" s="42"/>
      <c r="BI138" s="42"/>
      <c r="BJ138" s="42"/>
      <c r="BK138" s="42"/>
      <c r="BL138" s="42"/>
      <c r="BM138" s="42"/>
      <c r="BN138" s="42"/>
      <c r="BO138" s="3"/>
      <c r="BP138" s="3"/>
      <c r="BQ138" s="3"/>
      <c r="BR138" s="3"/>
      <c r="BS138" s="42"/>
      <c r="BT138" s="42"/>
      <c r="BU138" s="42"/>
      <c r="BV138" s="42"/>
      <c r="BW138" s="42"/>
      <c r="BX138" s="42"/>
      <c r="BY138" s="42"/>
      <c r="BZ138" s="42"/>
      <c r="CA138" s="42"/>
      <c r="CB138" s="2"/>
      <c r="CC138" s="3"/>
      <c r="CD138" s="3"/>
      <c r="CE138" s="3"/>
      <c r="CF138" s="42"/>
      <c r="CG138" s="42"/>
      <c r="CH138" s="42"/>
      <c r="CI138" s="42"/>
      <c r="CJ138" s="42"/>
      <c r="CK138" s="42"/>
      <c r="CL138" s="42"/>
      <c r="CM138" s="42"/>
      <c r="CN138" s="42"/>
      <c r="CO138" s="3"/>
      <c r="CP138" s="3"/>
      <c r="CQ138" s="3"/>
      <c r="CR138" s="43"/>
      <c r="CS138" s="42"/>
      <c r="CT138" s="42"/>
      <c r="CU138" s="42"/>
      <c r="CV138" s="42"/>
      <c r="CW138" s="42"/>
      <c r="CX138" s="42"/>
      <c r="CY138" s="42"/>
      <c r="CZ138" s="42"/>
      <c r="DA138" s="42"/>
      <c r="DC138" s="13"/>
      <c r="DD138" s="13"/>
      <c r="DE138" s="13"/>
    </row>
    <row r="139" spans="3:109" x14ac:dyDescent="0.4">
      <c r="C139" s="12"/>
      <c r="E139" s="12"/>
      <c r="F139" s="12"/>
      <c r="G139" s="12"/>
      <c r="H139" s="12"/>
      <c r="I139" s="12"/>
      <c r="J139" s="12"/>
      <c r="K139" s="12"/>
      <c r="L139" s="12"/>
      <c r="M139" s="31"/>
      <c r="N139" s="32"/>
      <c r="O139" s="32"/>
      <c r="P139" s="32"/>
      <c r="Q139" s="32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3"/>
      <c r="AQ139" s="3"/>
      <c r="AR139" s="33"/>
      <c r="AS139" s="3"/>
      <c r="AT139" s="3"/>
      <c r="AU139" s="3"/>
      <c r="AV139" s="3"/>
      <c r="AW139" s="41"/>
      <c r="AX139" s="41"/>
      <c r="AY139" s="3"/>
      <c r="BF139" s="42"/>
      <c r="BG139" s="42"/>
      <c r="BH139" s="42"/>
      <c r="BI139" s="42"/>
      <c r="BJ139" s="42"/>
      <c r="BK139" s="42"/>
      <c r="BL139" s="42"/>
      <c r="BM139" s="42"/>
      <c r="BN139" s="42"/>
      <c r="BO139" s="3"/>
      <c r="BP139" s="3"/>
      <c r="BQ139" s="3"/>
      <c r="BR139" s="3"/>
      <c r="BS139" s="42"/>
      <c r="BT139" s="42"/>
      <c r="BU139" s="42"/>
      <c r="BV139" s="42"/>
      <c r="BW139" s="42"/>
      <c r="BX139" s="42"/>
      <c r="BY139" s="42"/>
      <c r="BZ139" s="42"/>
      <c r="CA139" s="42"/>
      <c r="CB139" s="2"/>
      <c r="CC139" s="3"/>
      <c r="CD139" s="3"/>
      <c r="CE139" s="3"/>
      <c r="CF139" s="42"/>
      <c r="CG139" s="42"/>
      <c r="CH139" s="42"/>
      <c r="CI139" s="42"/>
      <c r="CJ139" s="42"/>
      <c r="CK139" s="42"/>
      <c r="CL139" s="42"/>
      <c r="CM139" s="42"/>
      <c r="CN139" s="42"/>
      <c r="CO139" s="3"/>
      <c r="CP139" s="3"/>
      <c r="CQ139" s="3"/>
      <c r="CR139" s="43"/>
      <c r="CS139" s="42"/>
      <c r="CT139" s="42"/>
      <c r="CU139" s="42"/>
      <c r="CV139" s="42"/>
      <c r="CW139" s="42"/>
      <c r="CX139" s="42"/>
      <c r="CY139" s="42"/>
      <c r="CZ139" s="42"/>
      <c r="DA139" s="42"/>
      <c r="DC139" s="13"/>
      <c r="DD139" s="13"/>
      <c r="DE139" s="13"/>
    </row>
    <row r="140" spans="3:109" x14ac:dyDescent="0.4">
      <c r="C140" s="12"/>
      <c r="E140" s="12"/>
      <c r="F140" s="12"/>
      <c r="G140" s="12"/>
      <c r="H140" s="12"/>
      <c r="I140" s="12"/>
      <c r="J140" s="12"/>
      <c r="K140" s="12"/>
      <c r="L140" s="12"/>
      <c r="M140" s="31"/>
      <c r="N140" s="32"/>
      <c r="O140" s="32"/>
      <c r="P140" s="32"/>
      <c r="Q140" s="32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3"/>
      <c r="AQ140" s="3"/>
      <c r="AR140" s="33"/>
      <c r="AS140" s="3"/>
      <c r="AT140" s="3"/>
      <c r="AU140" s="3"/>
      <c r="AV140" s="3"/>
      <c r="AW140" s="41"/>
      <c r="AX140" s="41"/>
      <c r="AY140" s="3"/>
      <c r="BF140" s="42"/>
      <c r="BG140" s="42"/>
      <c r="BH140" s="42"/>
      <c r="BI140" s="42"/>
      <c r="BJ140" s="42"/>
      <c r="BK140" s="42"/>
      <c r="BL140" s="42"/>
      <c r="BM140" s="42"/>
      <c r="BN140" s="42"/>
      <c r="BO140" s="3"/>
      <c r="BP140" s="3"/>
      <c r="BQ140" s="3"/>
      <c r="BR140" s="3"/>
      <c r="BS140" s="42"/>
      <c r="BT140" s="42"/>
      <c r="BU140" s="42"/>
      <c r="BV140" s="42"/>
      <c r="BW140" s="42"/>
      <c r="BX140" s="42"/>
      <c r="BY140" s="42"/>
      <c r="BZ140" s="42"/>
      <c r="CA140" s="42"/>
      <c r="CB140" s="2"/>
      <c r="CC140" s="3"/>
      <c r="CD140" s="3"/>
      <c r="CE140" s="3"/>
      <c r="CF140" s="42"/>
      <c r="CG140" s="42"/>
      <c r="CH140" s="42"/>
      <c r="CI140" s="42"/>
      <c r="CJ140" s="42"/>
      <c r="CK140" s="42"/>
      <c r="CL140" s="42"/>
      <c r="CM140" s="42"/>
      <c r="CN140" s="42"/>
      <c r="CO140" s="3"/>
      <c r="CP140" s="3"/>
      <c r="CQ140" s="3"/>
      <c r="CR140" s="43"/>
      <c r="CS140" s="42"/>
      <c r="CT140" s="42"/>
      <c r="CU140" s="42"/>
      <c r="CV140" s="42"/>
      <c r="CW140" s="42"/>
      <c r="CX140" s="42"/>
      <c r="CY140" s="42"/>
      <c r="CZ140" s="42"/>
      <c r="DA140" s="42"/>
      <c r="DC140" s="13"/>
      <c r="DD140" s="13"/>
      <c r="DE140" s="13"/>
    </row>
    <row r="141" spans="3:109" x14ac:dyDescent="0.4">
      <c r="DC141" s="13"/>
    </row>
  </sheetData>
  <mergeCells count="10">
    <mergeCell ref="U2:X2"/>
    <mergeCell ref="Y2:AC2"/>
    <mergeCell ref="AD2:AK2"/>
    <mergeCell ref="E102:G102"/>
    <mergeCell ref="K102:M102"/>
    <mergeCell ref="O102:T102"/>
    <mergeCell ref="E2:G2"/>
    <mergeCell ref="H2:J2"/>
    <mergeCell ref="L2:M2"/>
    <mergeCell ref="Q2:T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Readme</vt:lpstr>
      <vt:lpstr>SWC Model</vt:lpstr>
      <vt:lpstr>SWC Model Att</vt:lpstr>
      <vt:lpstr>ParamTable_SWC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ruibin hou</cp:lastModifiedBy>
  <dcterms:created xsi:type="dcterms:W3CDTF">2015-06-05T18:19:34Z</dcterms:created>
  <dcterms:modified xsi:type="dcterms:W3CDTF">2026-02-23T03:26:05Z</dcterms:modified>
</cp:coreProperties>
</file>